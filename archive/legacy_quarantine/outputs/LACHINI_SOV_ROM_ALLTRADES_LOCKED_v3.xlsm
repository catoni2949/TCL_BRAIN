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520" tabRatio="653" firstSheet="0" activeTab="0" autoFilterDateGrouping="1"/>
  </bookViews>
  <sheets>
    <sheet name="ESTIMATE (INPUT)" sheetId="1" state="visible" r:id="rId1"/>
    <sheet name="ESTIMATE (output)" sheetId="2" state="visible" r:id="rId2"/>
    <sheet name="FOOTINGS" sheetId="3" state="hidden" r:id="rId3"/>
    <sheet name="SOG" sheetId="4" state="hidden" r:id="rId4"/>
    <sheet name="TOPPING SLAB" sheetId="5" state="hidden" r:id="rId5"/>
  </sheets>
  <definedNames>
    <definedName name="_Order1" hidden="1">255</definedName>
    <definedName name="_Order2" hidden="1">255</definedName>
    <definedName name="_Sort" hidden="1">'ESTIMATE (INPUT)'!$A$15:$E$55</definedName>
    <definedName name="ESTIMATE">'ESTIMATE (output)'!$A$12:$U$232</definedName>
    <definedName name="FIGURES">'ESTIMATE (output)'!$N$13:$U$232</definedName>
    <definedName name="_Sort" localSheetId="1" hidden="1">'ESTIMATE (output)'!$A$15:$E$55</definedName>
    <definedName name="_xlnm.Print_Titles" localSheetId="1">'ESTIMATE (output)'!$1:$12</definedName>
  </definedNames>
  <calcPr calcId="191029" fullCalcOnLoad="1"/>
</workbook>
</file>

<file path=xl/styles.xml><?xml version="1.0" encoding="utf-8"?>
<styleSheet xmlns="http://schemas.openxmlformats.org/spreadsheetml/2006/main">
  <numFmts count="10">
    <numFmt numFmtId="164" formatCode="mm/dd/yy_)"/>
    <numFmt numFmtId="165" formatCode="0.00_)"/>
    <numFmt numFmtId="166" formatCode="0_)"/>
    <numFmt numFmtId="167" formatCode="0.0_)"/>
    <numFmt numFmtId="168" formatCode="#,##0.0_);\(#,##0.0\)"/>
    <numFmt numFmtId="169" formatCode="&quot;$&quot;#,##0.00"/>
    <numFmt numFmtId="170" formatCode="00000"/>
    <numFmt numFmtId="171" formatCode="0.0%"/>
    <numFmt numFmtId="172" formatCode="&quot;$&quot;#,##0.00_);\(&quot;$&quot;#,##0.00\)"/>
    <numFmt numFmtId="173" formatCode="#,##0.00;\-#,##0.00;&quot;&quot;"/>
  </numFmts>
  <fonts count="30">
    <font>
      <name val="Arial"/>
      <sz val="8"/>
    </font>
    <font>
      <name val="Arial"/>
      <family val="2"/>
      <sz val="10"/>
    </font>
    <font>
      <name val="Arial"/>
      <family val="2"/>
      <sz val="10"/>
    </font>
    <font>
      <name val="Arial"/>
      <family val="2"/>
      <color indexed="60"/>
      <sz val="10"/>
    </font>
    <font>
      <name val="Arial"/>
      <family val="2"/>
      <b val="1"/>
      <color indexed="61"/>
      <sz val="10"/>
    </font>
    <font>
      <name val="Arial"/>
      <family val="2"/>
      <color indexed="25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8"/>
    </font>
    <font>
      <name val="Arial"/>
      <family val="2"/>
      <sz val="8"/>
    </font>
    <font>
      <name val="Arial"/>
      <family val="2"/>
      <sz val="8"/>
    </font>
    <font>
      <name val="Arial"/>
      <family val="2"/>
      <color indexed="60"/>
      <sz val="8"/>
    </font>
    <font>
      <name val="Arial"/>
      <family val="2"/>
      <b val="1"/>
      <sz val="14"/>
    </font>
    <font>
      <name val="Arial"/>
      <family val="2"/>
      <sz val="14"/>
    </font>
    <font>
      <name val="Arial"/>
      <family val="2"/>
      <b val="1"/>
      <sz val="14"/>
    </font>
    <font>
      <name val="Arial"/>
      <family val="2"/>
      <b val="1"/>
      <sz val="10"/>
    </font>
    <font>
      <name val="Times New Roman"/>
      <family val="1"/>
      <sz val="10"/>
    </font>
    <font>
      <name val="Arial"/>
      <family val="2"/>
      <b val="1"/>
      <color indexed="10"/>
      <sz val="10"/>
    </font>
    <font>
      <name val="Times New Roman"/>
      <family val="1"/>
      <b val="1"/>
      <sz val="10"/>
    </font>
    <font>
      <name val="Arial"/>
      <family val="2"/>
      <b val="1"/>
      <sz val="12"/>
    </font>
    <font>
      <name val="Arial"/>
      <family val="2"/>
      <b val="1"/>
      <color indexed="12"/>
      <sz val="10"/>
    </font>
    <font>
      <name val="Bodoni MT Black"/>
      <family val="1"/>
      <sz val="24"/>
    </font>
    <font>
      <name val="Calibri"/>
      <family val="2"/>
      <b val="1"/>
      <sz val="12"/>
      <scheme val="minor"/>
    </font>
    <font>
      <name val="Arial"/>
      <family val="2"/>
      <color theme="0"/>
      <sz val="10"/>
    </font>
    <font>
      <name val="Arial"/>
      <family val="2"/>
      <color theme="0"/>
      <sz val="8"/>
    </font>
    <font>
      <name val="Calibri"/>
      <family val="2"/>
      <sz val="11"/>
      <scheme val="minor"/>
    </font>
    <font>
      <name val="Calibri"/>
      <family val="2"/>
      <sz val="12"/>
      <scheme val="minor"/>
    </font>
    <font>
      <name val="Arial"/>
      <family val="2"/>
      <color rgb="FF000000"/>
      <sz val="11"/>
    </font>
    <font>
      <name val="Calibri"/>
      <family val="2"/>
      <color rgb="FF000000"/>
      <sz val="11"/>
    </font>
    <font>
      <name val="Arial"/>
      <family val="2"/>
      <b val="1"/>
      <color rgb="FF000000"/>
      <sz val="12"/>
    </font>
  </fonts>
  <fills count="6">
    <fill>
      <patternFill/>
    </fill>
    <fill>
      <patternFill patternType="gray125"/>
    </fill>
    <fill>
      <patternFill patternType="lightGray">
        <fgColor indexed="22"/>
        <bgColor indexed="26"/>
      </patternFill>
    </fill>
    <fill>
      <patternFill patternType="solid">
        <fgColor indexed="9"/>
        <bgColor indexed="9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00FFFF00"/>
      </patternFill>
    </fill>
  </fills>
  <borders count="6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double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thin">
        <color indexed="8"/>
      </bottom>
      <diagonal/>
    </border>
    <border>
      <left/>
      <right/>
      <top style="double">
        <color indexed="8"/>
      </top>
      <bottom style="thin">
        <color indexed="8"/>
      </bottom>
      <diagonal/>
    </border>
    <border>
      <left/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indexed="8"/>
      </left>
      <right style="thin">
        <color indexed="8"/>
      </right>
      <top style="medium">
        <color theme="1"/>
      </top>
      <bottom/>
      <diagonal/>
    </border>
    <border>
      <left/>
      <right style="thin">
        <color indexed="8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indexed="8"/>
      </left>
      <right/>
      <top style="thin">
        <color indexed="8"/>
      </top>
      <bottom style="medium">
        <color theme="1"/>
      </bottom>
      <diagonal/>
    </border>
    <border>
      <left/>
      <right/>
      <top style="thin">
        <color indexed="8"/>
      </top>
      <bottom style="medium">
        <color theme="1"/>
      </bottom>
      <diagonal/>
    </border>
    <border>
      <left/>
      <right style="thin">
        <color indexed="8"/>
      </right>
      <top style="thin">
        <color indexed="8"/>
      </top>
      <bottom style="medium">
        <color theme="1"/>
      </bottom>
      <diagonal/>
    </border>
    <border>
      <left style="thin">
        <color indexed="8"/>
      </left>
      <right style="thin">
        <color indexed="8"/>
      </right>
      <top/>
      <bottom style="medium">
        <color theme="1"/>
      </bottom>
      <diagonal/>
    </border>
    <border>
      <left/>
      <right style="thin">
        <color indexed="8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37" fontId="0" fillId="0" borderId="0"/>
    <xf numFmtId="9" fontId="6" fillId="0" borderId="0"/>
  </cellStyleXfs>
  <cellXfs count="209">
    <xf numFmtId="37" fontId="0" fillId="0" borderId="0" pivotButton="0" quotePrefix="0" xfId="0"/>
    <xf numFmtId="37" fontId="2" fillId="0" borderId="0" applyAlignment="1" pivotButton="0" quotePrefix="0" xfId="0">
      <alignment vertical="center"/>
    </xf>
    <xf numFmtId="37" fontId="2" fillId="0" borderId="0" applyAlignment="1" pivotButton="0" quotePrefix="0" xfId="0">
      <alignment horizontal="center" vertical="center"/>
    </xf>
    <xf numFmtId="37" fontId="2" fillId="0" borderId="0" applyAlignment="1" pivotButton="0" quotePrefix="0" xfId="0">
      <alignment horizontal="centerContinuous" vertical="center"/>
    </xf>
    <xf numFmtId="37" fontId="3" fillId="0" borderId="0" applyAlignment="1" pivotButton="0" quotePrefix="0" xfId="0">
      <alignment vertical="center"/>
    </xf>
    <xf numFmtId="164" fontId="3" fillId="0" borderId="0" applyAlignment="1" pivotButton="0" quotePrefix="0" xfId="0">
      <alignment horizontal="right" vertical="center"/>
    </xf>
    <xf numFmtId="37" fontId="3" fillId="0" borderId="0" applyAlignment="1" pivotButton="0" quotePrefix="0" xfId="0">
      <alignment horizontal="right" vertical="center"/>
    </xf>
    <xf numFmtId="37" fontId="2" fillId="0" borderId="0" applyAlignment="1" pivotButton="0" quotePrefix="0" xfId="0">
      <alignment horizontal="right" vertical="center"/>
    </xf>
    <xf numFmtId="10" fontId="2" fillId="0" borderId="0" applyAlignment="1" pivotButton="0" quotePrefix="0" xfId="0">
      <alignment horizontal="center" vertical="center"/>
    </xf>
    <xf numFmtId="37" fontId="2" fillId="0" borderId="1" applyAlignment="1" pivotButton="0" quotePrefix="0" xfId="0">
      <alignment horizontal="center" vertical="center"/>
    </xf>
    <xf numFmtId="37" fontId="2" fillId="0" borderId="2" applyAlignment="1" pivotButton="0" quotePrefix="0" xfId="0">
      <alignment horizontal="center" vertical="center"/>
    </xf>
    <xf numFmtId="37" fontId="2" fillId="0" borderId="3" applyAlignment="1" pivotButton="0" quotePrefix="0" xfId="0">
      <alignment horizontal="center" vertical="center"/>
    </xf>
    <xf numFmtId="37" fontId="6" fillId="0" borderId="0" applyAlignment="1" pivotButton="0" quotePrefix="0" xfId="0">
      <alignment vertical="center"/>
    </xf>
    <xf numFmtId="37" fontId="0" fillId="0" borderId="0" applyAlignment="1" pivotButton="0" quotePrefix="0" xfId="0">
      <alignment vertical="center"/>
    </xf>
    <xf numFmtId="37" fontId="8" fillId="0" borderId="4" pivotButton="0" quotePrefix="0" xfId="0"/>
    <xf numFmtId="37" fontId="8" fillId="0" borderId="5" pivotButton="0" quotePrefix="0" xfId="0"/>
    <xf numFmtId="37" fontId="8" fillId="0" borderId="0" pivotButton="0" quotePrefix="0" xfId="0"/>
    <xf numFmtId="37" fontId="8" fillId="0" borderId="0" applyAlignment="1" pivotButton="0" quotePrefix="0" xfId="0">
      <alignment horizontal="center"/>
    </xf>
    <xf numFmtId="37" fontId="9" fillId="0" borderId="0" pivotButton="0" quotePrefix="0" xfId="0"/>
    <xf numFmtId="37" fontId="10" fillId="0" borderId="0" pivotButton="0" quotePrefix="0" xfId="0"/>
    <xf numFmtId="37" fontId="8" fillId="0" borderId="0" applyAlignment="1" pivotButton="0" quotePrefix="0" xfId="0">
      <alignment horizontal="right"/>
    </xf>
    <xf numFmtId="37" fontId="8" fillId="0" borderId="0" applyAlignment="1" pivotButton="0" quotePrefix="0" xfId="0">
      <alignment horizontal="centerContinuous"/>
    </xf>
    <xf numFmtId="37" fontId="9" fillId="0" borderId="0" applyAlignment="1" pivotButton="0" quotePrefix="0" xfId="0">
      <alignment horizontal="centerContinuous"/>
    </xf>
    <xf numFmtId="37" fontId="11" fillId="0" borderId="0" pivotButton="0" quotePrefix="0" xfId="0"/>
    <xf numFmtId="164" fontId="11" fillId="0" borderId="0" applyAlignment="1" pivotButton="0" quotePrefix="0" xfId="0">
      <alignment horizontal="right"/>
    </xf>
    <xf numFmtId="164" fontId="8" fillId="0" borderId="0" applyAlignment="1" pivotButton="0" quotePrefix="0" xfId="0">
      <alignment horizontal="center"/>
    </xf>
    <xf numFmtId="37" fontId="11" fillId="0" borderId="0" applyAlignment="1" pivotButton="0" quotePrefix="0" xfId="0">
      <alignment horizontal="right"/>
    </xf>
    <xf numFmtId="37" fontId="2" fillId="0" borderId="0" pivotButton="0" quotePrefix="0" xfId="0"/>
    <xf numFmtId="37" fontId="2" fillId="0" borderId="0" applyAlignment="1" pivotButton="0" quotePrefix="0" xfId="0">
      <alignment horizontal="center"/>
    </xf>
    <xf numFmtId="37" fontId="2" fillId="0" borderId="0" applyAlignment="1" pivotButton="0" quotePrefix="0" xfId="0">
      <alignment horizontal="centerContinuous"/>
    </xf>
    <xf numFmtId="37" fontId="2" fillId="0" borderId="0" applyAlignment="1" pivotButton="0" quotePrefix="0" xfId="0">
      <alignment horizontal="right"/>
    </xf>
    <xf numFmtId="37" fontId="2" fillId="0" borderId="6" pivotButton="0" quotePrefix="0" xfId="0"/>
    <xf numFmtId="37" fontId="2" fillId="0" borderId="7" pivotButton="0" quotePrefix="0" xfId="0"/>
    <xf numFmtId="37" fontId="2" fillId="0" borderId="8" applyAlignment="1" pivotButton="0" quotePrefix="0" xfId="0">
      <alignment horizontal="center"/>
    </xf>
    <xf numFmtId="37" fontId="2" fillId="0" borderId="9" applyAlignment="1" pivotButton="0" quotePrefix="0" xfId="0">
      <alignment horizontal="center"/>
    </xf>
    <xf numFmtId="37" fontId="2" fillId="0" borderId="10" applyAlignment="1" pivotButton="0" quotePrefix="0" xfId="0">
      <alignment horizontal="center"/>
    </xf>
    <xf numFmtId="37" fontId="2" fillId="0" borderId="11" applyAlignment="1" pivotButton="0" quotePrefix="0" xfId="0">
      <alignment horizontal="center"/>
    </xf>
    <xf numFmtId="37" fontId="2" fillId="0" borderId="12" applyAlignment="1" pivotButton="0" quotePrefix="0" xfId="0">
      <alignment horizontal="center"/>
    </xf>
    <xf numFmtId="37" fontId="2" fillId="0" borderId="13" applyAlignment="1" pivotButton="0" quotePrefix="0" xfId="0">
      <alignment horizontal="center"/>
    </xf>
    <xf numFmtId="37" fontId="2" fillId="0" borderId="14" applyAlignment="1" pivotButton="0" quotePrefix="0" xfId="0">
      <alignment horizontal="center"/>
    </xf>
    <xf numFmtId="37" fontId="2" fillId="0" borderId="15" applyAlignment="1" pivotButton="0" quotePrefix="0" xfId="0">
      <alignment horizontal="center"/>
    </xf>
    <xf numFmtId="37" fontId="9" fillId="0" borderId="0" applyAlignment="1" pivotButton="0" quotePrefix="0" xfId="0">
      <alignment horizontal="center"/>
    </xf>
    <xf numFmtId="37" fontId="2" fillId="0" borderId="16" applyAlignment="1" pivotButton="0" quotePrefix="0" xfId="0">
      <alignment horizontal="center"/>
    </xf>
    <xf numFmtId="37" fontId="2" fillId="0" borderId="16" pivotButton="0" quotePrefix="0" xfId="0"/>
    <xf numFmtId="165" fontId="2" fillId="0" borderId="17" pivotButton="0" quotePrefix="0" xfId="0"/>
    <xf numFmtId="165" fontId="2" fillId="0" borderId="18" pivotButton="0" quotePrefix="0" xfId="0"/>
    <xf numFmtId="166" fontId="2" fillId="0" borderId="17" pivotButton="0" quotePrefix="0" xfId="0"/>
    <xf numFmtId="167" fontId="2" fillId="0" borderId="17" pivotButton="0" quotePrefix="0" xfId="0"/>
    <xf numFmtId="37" fontId="6" fillId="0" borderId="16" applyAlignment="1" pivotButton="0" quotePrefix="0" xfId="0">
      <alignment horizontal="center"/>
    </xf>
    <xf numFmtId="37" fontId="6" fillId="0" borderId="16" pivotButton="0" quotePrefix="0" xfId="0"/>
    <xf numFmtId="165" fontId="6" fillId="0" borderId="17" pivotButton="0" quotePrefix="0" xfId="0"/>
    <xf numFmtId="37" fontId="6" fillId="0" borderId="0" pivotButton="0" quotePrefix="0" xfId="0"/>
    <xf numFmtId="37" fontId="2" fillId="0" borderId="19" applyAlignment="1" pivotButton="0" quotePrefix="0" xfId="0">
      <alignment horizontal="center"/>
    </xf>
    <xf numFmtId="37" fontId="6" fillId="0" borderId="19" pivotButton="0" quotePrefix="0" xfId="0"/>
    <xf numFmtId="165" fontId="6" fillId="0" borderId="20" pivotButton="0" quotePrefix="0" xfId="0"/>
    <xf numFmtId="165" fontId="2" fillId="0" borderId="20" pivotButton="0" quotePrefix="0" xfId="0"/>
    <xf numFmtId="165" fontId="2" fillId="0" borderId="21" pivotButton="0" quotePrefix="0" xfId="0"/>
    <xf numFmtId="37" fontId="6" fillId="0" borderId="0" applyAlignment="1" pivotButton="0" quotePrefix="0" xfId="0">
      <alignment horizontal="center"/>
    </xf>
    <xf numFmtId="37" fontId="12" fillId="0" borderId="0" pivotButton="0" quotePrefix="0" xfId="0"/>
    <xf numFmtId="37" fontId="12" fillId="0" borderId="22" pivotButton="0" quotePrefix="0" xfId="0"/>
    <xf numFmtId="168" fontId="12" fillId="0" borderId="22" pivotButton="0" quotePrefix="0" xfId="0"/>
    <xf numFmtId="37" fontId="12" fillId="0" borderId="0" applyAlignment="1" pivotButton="0" quotePrefix="0" xfId="0">
      <alignment horizontal="right"/>
    </xf>
    <xf numFmtId="166" fontId="2" fillId="0" borderId="15" applyAlignment="1" pivotButton="0" quotePrefix="0" xfId="0">
      <alignment horizontal="center"/>
    </xf>
    <xf numFmtId="166" fontId="12" fillId="0" borderId="22" pivotButton="0" quotePrefix="0" xfId="0"/>
    <xf numFmtId="37" fontId="13" fillId="0" borderId="0" pivotButton="0" quotePrefix="0" xfId="0"/>
    <xf numFmtId="37" fontId="14" fillId="0" borderId="23" pivotButton="0" quotePrefix="0" xfId="0"/>
    <xf numFmtId="37" fontId="13" fillId="0" borderId="24" pivotButton="0" quotePrefix="0" xfId="0"/>
    <xf numFmtId="37" fontId="13" fillId="0" borderId="25" pivotButton="0" quotePrefix="0" xfId="0"/>
    <xf numFmtId="37" fontId="14" fillId="0" borderId="22" pivotButton="0" quotePrefix="0" xfId="0"/>
    <xf numFmtId="167" fontId="14" fillId="0" borderId="22" pivotButton="0" quotePrefix="0" xfId="0"/>
    <xf numFmtId="166" fontId="14" fillId="0" borderId="22" pivotButton="0" quotePrefix="0" xfId="0"/>
    <xf numFmtId="37" fontId="14" fillId="0" borderId="0" pivotButton="0" quotePrefix="0" xfId="0"/>
    <xf numFmtId="37" fontId="2" fillId="0" borderId="26" applyAlignment="1" pivotButton="0" quotePrefix="0" xfId="0">
      <alignment horizontal="center"/>
    </xf>
    <xf numFmtId="37" fontId="2" fillId="0" borderId="27" applyAlignment="1" pivotButton="0" quotePrefix="0" xfId="0">
      <alignment horizontal="center"/>
    </xf>
    <xf numFmtId="37" fontId="2" fillId="0" borderId="28" applyAlignment="1" pivotButton="0" quotePrefix="0" xfId="0">
      <alignment horizontal="center"/>
    </xf>
    <xf numFmtId="166" fontId="2" fillId="0" borderId="26" applyAlignment="1" pivotButton="0" quotePrefix="0" xfId="0">
      <alignment horizontal="center"/>
    </xf>
    <xf numFmtId="37" fontId="2" fillId="0" borderId="29" applyAlignment="1" pivotButton="0" quotePrefix="0" xfId="0">
      <alignment horizontal="center"/>
    </xf>
    <xf numFmtId="37" fontId="2" fillId="0" borderId="30" applyAlignment="1" pivotButton="0" quotePrefix="0" xfId="0">
      <alignment horizontal="center"/>
    </xf>
    <xf numFmtId="37" fontId="2" fillId="0" borderId="31" applyAlignment="1" pivotButton="0" quotePrefix="0" xfId="0">
      <alignment horizontal="center"/>
    </xf>
    <xf numFmtId="166" fontId="2" fillId="0" borderId="27" applyAlignment="1" pivotButton="0" quotePrefix="0" xfId="0">
      <alignment horizontal="center"/>
    </xf>
    <xf numFmtId="37" fontId="2" fillId="0" borderId="32" applyAlignment="1" pivotButton="0" quotePrefix="0" xfId="0">
      <alignment horizontal="center"/>
    </xf>
    <xf numFmtId="166" fontId="2" fillId="0" borderId="33" applyAlignment="1" pivotButton="0" quotePrefix="0" xfId="0">
      <alignment horizontal="center"/>
    </xf>
    <xf numFmtId="39" fontId="2" fillId="0" borderId="16" pivotButton="0" quotePrefix="0" xfId="0"/>
    <xf numFmtId="39" fontId="2" fillId="0" borderId="5" pivotButton="0" quotePrefix="0" xfId="0"/>
    <xf numFmtId="37" fontId="2" fillId="0" borderId="34" pivotButton="0" quotePrefix="0" xfId="0"/>
    <xf numFmtId="37" fontId="2" fillId="0" borderId="33" pivotButton="0" quotePrefix="0" xfId="0"/>
    <xf numFmtId="37" fontId="0" fillId="0" borderId="24" pivotButton="0" quotePrefix="0" xfId="0"/>
    <xf numFmtId="37" fontId="14" fillId="0" borderId="24" pivotButton="0" quotePrefix="0" xfId="0"/>
    <xf numFmtId="39" fontId="14" fillId="0" borderId="22" pivotButton="0" quotePrefix="0" xfId="0"/>
    <xf numFmtId="37" fontId="2" fillId="0" borderId="3" applyAlignment="1" pivotButton="0" quotePrefix="0" xfId="0">
      <alignment horizontal="right" vertical="center"/>
    </xf>
    <xf numFmtId="37" fontId="0" fillId="0" borderId="0" applyAlignment="1" pivotButton="0" quotePrefix="0" xfId="0">
      <alignment horizontal="right"/>
    </xf>
    <xf numFmtId="2" fontId="2" fillId="0" borderId="0" applyAlignment="1" pivotButton="0" quotePrefix="0" xfId="0">
      <alignment vertical="center"/>
    </xf>
    <xf numFmtId="2" fontId="6" fillId="0" borderId="0" applyAlignment="1" pivotButton="0" quotePrefix="0" xfId="0">
      <alignment vertical="center"/>
    </xf>
    <xf numFmtId="37" fontId="7" fillId="2" borderId="35" applyAlignment="1" pivotButton="0" quotePrefix="0" xfId="0">
      <alignment vertical="center"/>
    </xf>
    <xf numFmtId="2" fontId="7" fillId="2" borderId="35" applyAlignment="1" pivotButton="0" quotePrefix="0" xfId="0">
      <alignment vertical="center"/>
    </xf>
    <xf numFmtId="37" fontId="7" fillId="2" borderId="35" applyAlignment="1" pivotButton="0" quotePrefix="0" xfId="0">
      <alignment horizontal="right" vertical="center"/>
    </xf>
    <xf numFmtId="37" fontId="2" fillId="0" borderId="0" applyAlignment="1" pivotButton="0" quotePrefix="0" xfId="0">
      <alignment horizontal="left" vertical="center"/>
    </xf>
    <xf numFmtId="39" fontId="2" fillId="0" borderId="0" applyAlignment="1" pivotButton="0" quotePrefix="0" xfId="0">
      <alignment vertical="center"/>
    </xf>
    <xf numFmtId="37" fontId="15" fillId="2" borderId="35" applyAlignment="1" pivotButton="0" quotePrefix="0" xfId="0">
      <alignment vertical="center"/>
    </xf>
    <xf numFmtId="1" fontId="6" fillId="0" borderId="0" applyAlignment="1" pivotButton="0" quotePrefix="0" xfId="0">
      <alignment vertical="center"/>
    </xf>
    <xf numFmtId="1" fontId="2" fillId="0" borderId="0" applyAlignment="1" pivotButton="0" quotePrefix="0" xfId="0">
      <alignment vertical="center"/>
    </xf>
    <xf numFmtId="169" fontId="2" fillId="0" borderId="0" applyAlignment="1" pivotButton="0" quotePrefix="0" xfId="0">
      <alignment vertical="center"/>
    </xf>
    <xf numFmtId="37" fontId="17" fillId="0" borderId="0" applyAlignment="1" pivotButton="0" quotePrefix="0" xfId="0">
      <alignment vertical="center"/>
    </xf>
    <xf numFmtId="37" fontId="2" fillId="0" borderId="36" applyAlignment="1" pivotButton="0" quotePrefix="0" xfId="0">
      <alignment horizontal="center" vertical="center"/>
    </xf>
    <xf numFmtId="37" fontId="2" fillId="0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center" vertical="center"/>
    </xf>
    <xf numFmtId="10" fontId="5" fillId="3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right" vertical="center"/>
    </xf>
    <xf numFmtId="164" fontId="1" fillId="0" borderId="0" applyAlignment="1" pivotButton="0" quotePrefix="0" xfId="0">
      <alignment horizontal="center" vertical="center"/>
    </xf>
    <xf numFmtId="1" fontId="2" fillId="0" borderId="0" applyAlignment="1" pivotButton="0" quotePrefix="0" xfId="0">
      <alignment horizontal="center" vertical="center"/>
    </xf>
    <xf numFmtId="1" fontId="2" fillId="0" borderId="0" applyAlignment="1" pivotButton="0" quotePrefix="1" xfId="0">
      <alignment horizontal="center" vertical="center"/>
    </xf>
    <xf numFmtId="1" fontId="15" fillId="0" borderId="0" applyAlignment="1" pivotButton="0" quotePrefix="0" xfId="0">
      <alignment horizontal="center" vertical="center"/>
    </xf>
    <xf numFmtId="1" fontId="15" fillId="0" borderId="0" applyAlignment="1" pivotButton="0" quotePrefix="1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7" fillId="2" borderId="35" applyAlignment="1" pivotButton="0" quotePrefix="0" xfId="0">
      <alignment horizontal="center" vertical="center"/>
    </xf>
    <xf numFmtId="1" fontId="0" fillId="0" borderId="0" applyAlignment="1" pivotButton="0" quotePrefix="0" xfId="0">
      <alignment horizontal="center"/>
    </xf>
    <xf numFmtId="37" fontId="19" fillId="2" borderId="35" applyAlignment="1" pivotButton="0" quotePrefix="0" xfId="0">
      <alignment vertical="center"/>
    </xf>
    <xf numFmtId="37" fontId="15" fillId="0" borderId="0" applyAlignment="1" pivotButton="0" quotePrefix="0" xfId="0">
      <alignment vertical="center"/>
    </xf>
    <xf numFmtId="39" fontId="15" fillId="0" borderId="0" applyAlignment="1" pivotButton="0" quotePrefix="0" xfId="0">
      <alignment vertical="center"/>
    </xf>
    <xf numFmtId="37" fontId="18" fillId="0" borderId="0" applyAlignment="1" pivotButton="0" quotePrefix="0" xfId="0">
      <alignment horizontal="left"/>
    </xf>
    <xf numFmtId="37" fontId="15" fillId="0" borderId="0" applyAlignment="1" pivotButton="0" quotePrefix="0" xfId="0">
      <alignment horizontal="left" vertical="center"/>
    </xf>
    <xf numFmtId="37" fontId="20" fillId="0" borderId="0" applyAlignment="1" pivotButton="0" quotePrefix="0" xfId="0">
      <alignment vertical="center"/>
    </xf>
    <xf numFmtId="37" fontId="21" fillId="0" borderId="0" applyAlignment="1" pivotButton="0" quotePrefix="0" xfId="0">
      <alignment vertical="center"/>
    </xf>
    <xf numFmtId="37" fontId="6" fillId="0" borderId="0" applyAlignment="1" pivotButton="0" quotePrefix="0" xfId="0">
      <alignment horizontal="left" vertical="center"/>
    </xf>
    <xf numFmtId="170" fontId="2" fillId="0" borderId="0" applyAlignment="1" pivotButton="0" quotePrefix="0" xfId="0">
      <alignment horizontal="center" vertical="center"/>
    </xf>
    <xf numFmtId="170" fontId="7" fillId="2" borderId="35" applyAlignment="1" pivotButton="0" quotePrefix="0" xfId="0">
      <alignment horizontal="center" vertical="center"/>
    </xf>
    <xf numFmtId="170" fontId="2" fillId="0" borderId="0" applyAlignment="1" applyProtection="1" pivotButton="0" quotePrefix="0" xfId="0">
      <alignment horizontal="center" vertical="center"/>
      <protection locked="0" hidden="0"/>
    </xf>
    <xf numFmtId="37" fontId="2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" vertical="center"/>
      <protection locked="0" hidden="0"/>
    </xf>
    <xf numFmtId="2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horizontal="center" vertical="center"/>
      <protection locked="0" hidden="0"/>
    </xf>
    <xf numFmtId="171" fontId="2" fillId="0" borderId="0" applyAlignment="1" applyProtection="1" pivotButton="0" quotePrefix="0" xfId="1">
      <alignment horizontal="center" vertical="center"/>
      <protection locked="0" hidden="0"/>
    </xf>
    <xf numFmtId="37" fontId="2" fillId="0" borderId="37" applyAlignment="1" pivotButton="0" quotePrefix="0" xfId="0">
      <alignment vertical="center"/>
    </xf>
    <xf numFmtId="37" fontId="2" fillId="0" borderId="37" applyAlignment="1" pivotButton="0" quotePrefix="0" xfId="0">
      <alignment horizontal="center" vertical="center"/>
    </xf>
    <xf numFmtId="37" fontId="2" fillId="0" borderId="37" applyAlignment="1" pivotButton="0" quotePrefix="0" xfId="0">
      <alignment horizontal="centerContinuous" vertical="center"/>
    </xf>
    <xf numFmtId="172" fontId="3" fillId="0" borderId="37" applyAlignment="1" pivotButton="0" quotePrefix="0" xfId="0">
      <alignment horizontal="center" vertical="center"/>
    </xf>
    <xf numFmtId="37" fontId="2" fillId="0" borderId="38" applyAlignment="1" pivotButton="0" quotePrefix="0" xfId="0">
      <alignment horizontal="center" vertical="center"/>
    </xf>
    <xf numFmtId="10" fontId="5" fillId="3" borderId="38" applyAlignment="1" pivotButton="0" quotePrefix="0" xfId="0">
      <alignment horizontal="center" vertical="center"/>
    </xf>
    <xf numFmtId="37" fontId="2" fillId="0" borderId="39" applyAlignment="1" pivotButton="0" quotePrefix="0" xfId="0">
      <alignment horizontal="right" vertical="center"/>
    </xf>
    <xf numFmtId="37" fontId="2" fillId="0" borderId="40" applyAlignment="1" pivotButton="0" quotePrefix="0" xfId="0">
      <alignment horizontal="center" vertical="center"/>
    </xf>
    <xf numFmtId="37" fontId="2" fillId="0" borderId="41" applyAlignment="1" pivotButton="0" quotePrefix="0" xfId="0">
      <alignment vertical="center"/>
    </xf>
    <xf numFmtId="37" fontId="2" fillId="0" borderId="41" applyAlignment="1" pivotButton="0" quotePrefix="0" xfId="0">
      <alignment horizontal="center" vertical="center"/>
    </xf>
    <xf numFmtId="37" fontId="2" fillId="0" borderId="42" applyAlignment="1" pivotButton="0" quotePrefix="0" xfId="0">
      <alignment horizontal="center" vertical="center"/>
    </xf>
    <xf numFmtId="37" fontId="2" fillId="0" borderId="43" applyAlignment="1" pivotButton="0" quotePrefix="0" xfId="0">
      <alignment horizontal="center" vertical="center"/>
    </xf>
    <xf numFmtId="37" fontId="2" fillId="0" borderId="44" applyAlignment="1" pivotButton="0" quotePrefix="0" xfId="0">
      <alignment horizontal="center" vertical="center"/>
    </xf>
    <xf numFmtId="37" fontId="2" fillId="0" borderId="45" applyAlignment="1" pivotButton="0" quotePrefix="0" xfId="0">
      <alignment horizontal="center" vertical="center"/>
    </xf>
    <xf numFmtId="37" fontId="2" fillId="0" borderId="46" applyAlignment="1" pivotButton="0" quotePrefix="0" xfId="0">
      <alignment horizontal="center" vertical="center"/>
    </xf>
    <xf numFmtId="37" fontId="2" fillId="0" borderId="47" applyAlignment="1" pivotButton="0" quotePrefix="0" xfId="0">
      <alignment horizontal="center" vertical="center"/>
    </xf>
    <xf numFmtId="37" fontId="22" fillId="0" borderId="0" applyAlignment="1" pivotButton="0" quotePrefix="0" xfId="0">
      <alignment horizontal="left" vertical="center"/>
    </xf>
    <xf numFmtId="1" fontId="2" fillId="0" borderId="48" applyAlignment="1" pivotButton="0" quotePrefix="0" xfId="0">
      <alignment horizontal="center" vertical="center"/>
    </xf>
    <xf numFmtId="1" fontId="2" fillId="0" borderId="49" applyAlignment="1" pivotButton="0" quotePrefix="0" xfId="0">
      <alignment horizontal="center" vertical="center"/>
    </xf>
    <xf numFmtId="37" fontId="2" fillId="0" borderId="50" applyAlignment="1" pivotButton="0" quotePrefix="0" xfId="0">
      <alignment vertical="center"/>
    </xf>
    <xf numFmtId="37" fontId="2" fillId="0" borderId="51" applyAlignment="1" pivotButton="0" quotePrefix="0" xfId="0">
      <alignment vertical="center"/>
    </xf>
    <xf numFmtId="1" fontId="23" fillId="0" borderId="0" applyAlignment="1" pivotButton="0" quotePrefix="0" xfId="0">
      <alignment horizontal="center" vertical="center"/>
    </xf>
    <xf numFmtId="37" fontId="23" fillId="0" borderId="0" applyAlignment="1" pivotButton="0" quotePrefix="0" xfId="0">
      <alignment vertical="center"/>
    </xf>
    <xf numFmtId="37" fontId="24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center" vertical="center"/>
    </xf>
    <xf numFmtId="2" fontId="23" fillId="0" borderId="0" applyAlignment="1" pivotButton="0" quotePrefix="0" xfId="0">
      <alignment vertical="center"/>
    </xf>
    <xf numFmtId="1" fontId="23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right" vertical="center"/>
    </xf>
    <xf numFmtId="37" fontId="25" fillId="0" borderId="0" applyAlignment="1" pivotButton="0" quotePrefix="0" xfId="0">
      <alignment horizontal="center" vertical="center"/>
    </xf>
    <xf numFmtId="2" fontId="6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Continuous" vertical="center"/>
      <protection locked="0" hidden="0"/>
    </xf>
    <xf numFmtId="37" fontId="3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right" vertical="center"/>
      <protection locked="0" hidden="0"/>
    </xf>
    <xf numFmtId="164" fontId="3" fillId="0" borderId="0" applyAlignment="1" applyProtection="1" pivotButton="0" quotePrefix="0" xfId="0">
      <alignment horizontal="right" vertical="center"/>
      <protection locked="0" hidden="0"/>
    </xf>
    <xf numFmtId="37" fontId="3" fillId="0" borderId="0" applyAlignment="1" applyProtection="1" pivotButton="0" quotePrefix="0" xfId="0">
      <alignment horizontal="right" vertical="center"/>
      <protection locked="0" hidden="0"/>
    </xf>
    <xf numFmtId="1" fontId="6" fillId="0" borderId="0" applyAlignment="1" applyProtection="1" pivotButton="0" quotePrefix="0" xfId="0">
      <alignment vertical="center"/>
      <protection locked="0" hidden="0"/>
    </xf>
    <xf numFmtId="37" fontId="6" fillId="0" borderId="0" applyAlignment="1" applyProtection="1" pivotButton="0" quotePrefix="0" xfId="0">
      <alignment horizontal="center" vertical="center"/>
      <protection locked="0" hidden="0"/>
    </xf>
    <xf numFmtId="49" fontId="16" fillId="4" borderId="52" applyAlignment="1" applyProtection="1" pivotButton="0" quotePrefix="0" xfId="0">
      <alignment horizontal="center" vertical="center"/>
      <protection locked="0" hidden="0"/>
    </xf>
    <xf numFmtId="164" fontId="16" fillId="4" borderId="52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center" vertical="center"/>
      <protection locked="0" hidden="0"/>
    </xf>
    <xf numFmtId="170" fontId="1" fillId="0" borderId="0" applyAlignment="1" applyProtection="1" pivotButton="0" quotePrefix="0" xfId="0">
      <alignment horizontal="center" vertical="center"/>
      <protection locked="0" hidden="0"/>
    </xf>
    <xf numFmtId="1" fontId="1" fillId="0" borderId="0" applyAlignment="1" applyProtection="1" pivotButton="0" quotePrefix="0" xfId="0">
      <alignment horizontal="center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37" fontId="2" fillId="0" borderId="0" applyAlignment="1" applyProtection="1" pivotButton="0" quotePrefix="0" xfId="0">
      <alignment horizontal="left" vertical="center"/>
      <protection locked="0" hidden="0"/>
    </xf>
    <xf numFmtId="0" fontId="0" fillId="0" borderId="0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0" fontId="5" fillId="3" borderId="10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0" fontId="0" fillId="0" borderId="0" applyProtection="1" pivotButton="0" quotePrefix="0" xfId="0"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49" fontId="18" fillId="4" borderId="53" applyAlignment="1" applyProtection="1" pivotButton="0" quotePrefix="0" xfId="0">
      <alignment horizontal="left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49" fontId="18" fillId="4" borderId="53" applyAlignment="1" applyProtection="1" pivotButton="0" quotePrefix="0" xfId="0">
      <alignment wrapText="1"/>
      <protection locked="0" hidden="0"/>
    </xf>
    <xf numFmtId="37" fontId="7" fillId="2" borderId="35" applyAlignment="1" pivotButton="0" quotePrefix="0" xfId="0">
      <alignment horizontal="left" vertical="center"/>
    </xf>
    <xf numFmtId="0" fontId="0" fillId="0" borderId="35" pivotButton="0" quotePrefix="0" xfId="0"/>
    <xf numFmtId="37" fontId="6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26" fillId="0" borderId="0" applyAlignment="1" pivotButton="0" quotePrefix="0" xfId="0">
      <alignment horizontal="left" vertical="center"/>
    </xf>
    <xf numFmtId="37" fontId="0" fillId="0" borderId="0" applyAlignment="1" pivotButton="0" quotePrefix="0" xfId="0">
      <alignment horizontal="right"/>
    </xf>
    <xf numFmtId="37" fontId="2" fillId="0" borderId="57" applyAlignment="1" pivotButton="0" quotePrefix="0" xfId="0">
      <alignment horizontal="left" vertical="center"/>
    </xf>
    <xf numFmtId="0" fontId="0" fillId="0" borderId="54" pivotButton="0" quotePrefix="0" xfId="0"/>
    <xf numFmtId="1" fontId="20" fillId="4" borderId="52" applyAlignment="1" applyProtection="1" pivotButton="0" quotePrefix="0" xfId="0">
      <alignment vertical="center"/>
      <protection locked="0" hidden="0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73" fontId="2" fillId="0" borderId="0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3" fontId="6" fillId="0" borderId="0" applyAlignment="1" applyProtection="1" pivotButton="0" quotePrefix="0" xfId="0">
      <alignment vertical="center"/>
      <protection locked="0" hidden="0"/>
    </xf>
    <xf numFmtId="1" fontId="2" fillId="5" borderId="0" applyAlignment="1" applyProtection="1" pivotButton="0" quotePrefix="0" xfId="0">
      <alignment vertical="center"/>
      <protection locked="0" hidden="0"/>
    </xf>
    <xf numFmtId="1" fontId="7" fillId="5" borderId="35" applyAlignment="1" pivotButton="0" quotePrefix="0" xfId="0">
      <alignment vertical="center"/>
    </xf>
    <xf numFmtId="1" fontId="6" fillId="5" borderId="0" applyAlignment="1" applyProtection="1" pivotButton="0" quotePrefix="0" xfId="0">
      <alignment vertical="center"/>
      <protection locked="0" hidden="0"/>
    </xf>
    <xf numFmtId="172" fontId="3" fillId="0" borderId="37" applyAlignment="1" pivotButton="0" quotePrefix="0" xfId="0">
      <alignment horizontal="center" vertical="center"/>
    </xf>
  </cellXfs>
  <cellStyles count="2">
    <cellStyle name="Normal" xfId="0" builtinId="0"/>
    <cellStyle name="Percent" xfId="1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comments/comment1.xml><?xml version="1.0" encoding="utf-8"?>
<comments xmlns="http://schemas.openxmlformats.org/spreadsheetml/2006/main">
  <authors>
    <author>TCL-ROM</author>
  </authors>
  <commentList>
    <comment ref="I56" authorId="0" shapeId="0">
      <text>
        <t>ROM — no bid yet — $4-8/SF midpoint=$6.0 — SF=12500</t>
      </text>
    </comment>
    <comment ref="I79" authorId="0" shapeId="0">
      <text>
        <t>ROM — no bid yet — $6-12/SF midpoint=$9.0 — SF=12500</t>
      </text>
    </comment>
    <comment ref="I81" authorId="0" shapeId="0">
      <text>
        <t>ROM — no bid yet — $3-7/SF midpoint=$5.0 — SF=12500</t>
      </text>
    </comment>
    <comment ref="I82" authorId="0" shapeId="0">
      <text>
        <t>ROM — no bid yet — $2-6/SF midpoint=$4.0 — SF=12500</t>
      </text>
    </comment>
    <comment ref="I92" authorId="0" shapeId="0">
      <text>
        <t>ROM — no bid yet — $8-16/SF midpoint=$12.0 — SF=12500</t>
      </text>
    </comment>
    <comment ref="I93" authorId="0" shapeId="0">
      <text>
        <t>ROM — no bid yet — $10-20/SF midpoint=$15.0 — SF=12500</t>
      </text>
    </comment>
    <comment ref="I94" authorId="0" shapeId="0">
      <text>
        <t>ROM — no bid yet — $10-22/SF midpoint=$16.0 — SF=12500</t>
      </text>
    </comment>
    <comment ref="I103" authorId="0" shapeId="0">
      <text>
        <t>ROM — no bid yet — $4-10/SF midpoint=$7.0 — SF=12500</t>
      </text>
    </comment>
    <comment ref="I104" authorId="0" shapeId="0">
      <text>
        <t>ROM — no bid yet — $2-5/SF midpoint=$3.5 — SF=12500</t>
      </text>
    </comment>
    <comment ref="I105" authorId="0" shapeId="0">
      <text>
        <t>ROM — no bid yet — $4-10/SF midpoint=$7.0 — SF=12500</t>
      </text>
    </comment>
    <comment ref="I106" authorId="0" shapeId="0">
      <text>
        <t>ROM — no bid yet — $1-3/SF midpoint=$2.0 — SF=12500</t>
      </text>
    </comment>
    <comment ref="I115" authorId="0" shapeId="0">
      <text>
        <t>ROM — no bid yet — $4-10/SF midpoint=$7.0 — SF=12500</t>
      </text>
    </comment>
    <comment ref="I116" authorId="0" shapeId="0">
      <text>
        <t>ROM — no bid yet — $2-6/SF midpoint=$4.0 — SF=12500</t>
      </text>
    </comment>
    <comment ref="I117" authorId="0" shapeId="0">
      <text>
        <t>ROM — no bid yet — $3-8/SF midpoint=$5.5 — SF=12500</t>
      </text>
    </comment>
    <comment ref="I118" authorId="0" shapeId="0">
      <text>
        <t>ROM — no bid yet — $3-8/SF midpoint=$5.5 — SF=12500</t>
      </text>
    </comment>
    <comment ref="I119" authorId="0" shapeId="0">
      <text>
        <t>ROM — no bid yet — $4-10/SF midpoint=$7.0 — SF=12500</t>
      </text>
    </comment>
    <comment ref="I120" authorId="0" shapeId="0">
      <text>
        <t>ROM — no bid yet — $4-10/SF midpoint=$7.0 — SF=12500</t>
      </text>
    </comment>
    <comment ref="I121" authorId="0" shapeId="0">
      <text>
        <t>ROM — no bid yet — $4-10/SF midpoint=$7.0 — SF=12500</t>
      </text>
    </comment>
    <comment ref="I122" authorId="0" shapeId="0">
      <text>
        <t>ROM — no bid yet — $1-4/SF midpoint=$2.5 — SF=12500</t>
      </text>
    </comment>
    <comment ref="I131" authorId="0" shapeId="0">
      <text>
        <t>ROM — no bid yet — $10-16/SF midpoint=$13.0 — SF=12500</t>
      </text>
    </comment>
    <comment ref="I132" authorId="0" shapeId="0">
      <text>
        <t>ROM — no bid yet — $9-14/SF midpoint=$11.5 — SF=12500</t>
      </text>
    </comment>
    <comment ref="I133" authorId="0" shapeId="0">
      <text>
        <t>ROM — no bid yet — $6-12/SF midpoint=$9.0 — SF=12500</t>
      </text>
    </comment>
    <comment ref="I142" authorId="0" shapeId="0">
      <text>
        <t>ROM — no bid yet — $4-9/SF midpoint=$6.5 — SF=12500</t>
      </text>
    </comment>
    <comment ref="I151" authorId="0" shapeId="0">
      <text>
        <t>ROM — no bid yet — $6-14/SF midpoint=$10.0 — SF=12500</t>
      </text>
    </comment>
    <comment ref="I160" authorId="0" shapeId="0">
      <text>
        <t>ROM — no bid yet — $3-7/SF midpoint=$5.0 — SF=12500</t>
      </text>
    </comment>
    <comment ref="I163" authorId="0" shapeId="0">
      <text>
        <t>ROM — no bid yet — $1-4/SF midpoint=$2.5 — SF=12500</t>
      </text>
    </comment>
    <comment ref="I169" authorId="0" shapeId="0">
      <text>
        <t>ROM — no bid yet — $1-4/SF midpoint=$2.5 — SF=12500</t>
      </text>
    </comment>
    <comment ref="I170" authorId="0" shapeId="0">
      <text>
        <t>ROM — no bid yet — $1-4/SF midpoint=$2.5 — SF=12500</t>
      </text>
    </comment>
    <comment ref="I178" authorId="0" shapeId="0">
      <text>
        <t>ROM — no bid yet — $2-6/SF midpoint=$4.0 — SF=12500</t>
      </text>
    </comment>
    <comment ref="I186" authorId="0" shapeId="0">
      <text>
        <t>ROM — no bid yet — $2-6/SF midpoint=$4.0 — SF=12500</t>
      </text>
    </comment>
    <comment ref="I194" authorId="0" shapeId="0">
      <text>
        <t>ROM — no bid yet — $6-10/SF midpoint=$8.0 — SF=12500</t>
      </text>
    </comment>
    <comment ref="I202" authorId="0" shapeId="0">
      <text>
        <t>BID OVERRIDE — CODE 15500 — HVAC / HOOD / MAU / EF</t>
      </text>
    </comment>
    <comment ref="I210" authorId="0" shapeId="0">
      <text>
        <t>BID OVERRIDE — CODE 16000 — ELECTRICAL BASE (NO FA)</t>
      </text>
    </comment>
    <comment ref="I211" authorId="0" shapeId="0">
      <text>
        <t>ROM — no bid yet — $2-6/SF midpoint=$4.0 — SF=12500</t>
      </text>
    </comment>
    <comment ref="I212" authorId="0" shapeId="0">
      <text>
        <t>ROM — no bid yet — $1-4/SF midpoint=$2.5 — SF=12500</t>
      </text>
    </comment>
    <comment ref="I218" authorId="0" shapeId="0">
      <text>
        <t>ROM — no bid yet — $1-4/SF midpoint=$2.5 — SF=12500</t>
      </text>
    </comment>
    <comment ref="I220" authorId="0" shapeId="0">
      <text>
        <t>ROM — no bid yet — $1-4/SF midpoint=$2.5 — SF=12500</t>
      </text>
    </comment>
    <comment ref="I221" authorId="0" shapeId="0">
      <text>
        <t>ROM — no bid yet — $1-4/SF midpoint=$2.5 — SF=12500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3.vml" Id="anysvml" 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4.vml" Id="anysvml" /></Relationships>
</file>

<file path=xl/worksheets/sheet1.xml><?xml version="1.0" encoding="utf-8"?>
<worksheet xmlns="http://schemas.openxmlformats.org/spreadsheetml/2006/main">
  <sheetPr codeName="Sheet1" transitionEvaluation="1" transitionEntry="1">
    <outlinePr summaryBelow="1" summaryRight="1"/>
    <pageSetUpPr fitToPage="1"/>
  </sheetPr>
  <dimension ref="A1:CB247"/>
  <sheetViews>
    <sheetView tabSelected="1" defaultGridColor="0" colorId="52" zoomScale="140" zoomScaleNormal="80" workbookViewId="0">
      <pane ySplit="11" topLeftCell="A206" activePane="bottomLeft" state="frozen"/>
      <selection pane="bottomLeft" activeCell="G167" sqref="G167:J221"/>
    </sheetView>
  </sheetViews>
  <sheetFormatPr baseColWidth="10" defaultColWidth="9.75" defaultRowHeight="11"/>
  <cols>
    <col width="12" customWidth="1" style="115" min="1" max="1"/>
    <col width="15" customWidth="1" style="195" min="2" max="2"/>
    <col width="44.75" customWidth="1" style="195" min="3" max="3"/>
    <col width="12.5" bestFit="1" customWidth="1" style="195" min="4" max="4"/>
    <col width="8" customWidth="1" style="195" min="5" max="5"/>
    <col width="2.5" customWidth="1" style="195" min="6" max="6"/>
    <col width="11.75" customWidth="1" style="195" min="7" max="8"/>
    <col width="13.75" customWidth="1" style="195" min="9" max="9"/>
    <col width="11.25" customWidth="1" style="195" min="10" max="10"/>
    <col width="13.25" customWidth="1" style="195" min="11" max="11"/>
    <col width="2" customWidth="1" style="195" min="12" max="12"/>
    <col width="9.75" bestFit="1" customWidth="1" style="195" min="13" max="13"/>
    <col width="15.75" customWidth="1" style="195" min="14" max="14"/>
    <col width="15.75" customWidth="1" style="197" min="15" max="15"/>
    <col width="15.75" customWidth="1" style="195" min="16" max="17"/>
    <col width="15.75" customWidth="1" style="197" min="18" max="19"/>
    <col width="15.75" customWidth="1" style="195" min="20" max="20"/>
    <col hidden="1" width="10.25" customWidth="1" style="195" min="21" max="21"/>
    <col hidden="1" width="13" customWidth="1" style="195" min="22" max="22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> </t>
        </is>
      </c>
      <c r="J1" s="1" t="n"/>
      <c r="K1" s="1" t="n"/>
      <c r="L1" s="1" t="n"/>
      <c r="M1" s="1" t="n"/>
      <c r="N1" s="1" t="n"/>
      <c r="O1" s="7" t="n"/>
      <c r="P1" s="1" t="n"/>
      <c r="Q1" s="1" t="n"/>
      <c r="R1" s="7" t="n"/>
      <c r="S1" s="7" t="n"/>
      <c r="T1" s="1" t="n"/>
      <c r="U1" s="1" t="n"/>
      <c r="V1" s="1" t="n"/>
    </row>
    <row r="2" ht="18" customHeight="1" s="195">
      <c r="A2" s="109" t="n"/>
      <c r="B2" s="1" t="n"/>
      <c r="C2" s="1" t="n"/>
      <c r="D2" s="2" t="n"/>
      <c r="E2" s="2" t="inlineStr">
        <is>
          <t> </t>
        </is>
      </c>
      <c r="F2" s="2" t="n"/>
      <c r="G2" s="1" t="n"/>
      <c r="H2" s="1" t="n"/>
      <c r="I2" s="1" t="n"/>
      <c r="J2" s="1" t="n"/>
      <c r="K2" s="0" t="n"/>
      <c r="L2" s="0" t="n"/>
      <c r="M2" s="30" t="n"/>
      <c r="N2" s="119" t="inlineStr">
        <is>
          <t>PROJECT</t>
        </is>
      </c>
      <c r="O2" s="188" t="n"/>
      <c r="P2" s="189" t="n"/>
      <c r="Q2" s="189" t="n"/>
      <c r="R2" s="190" t="n"/>
      <c r="S2" s="194" t="inlineStr">
        <is>
          <t>DATE</t>
        </is>
      </c>
      <c r="T2" s="170" t="n"/>
      <c r="U2" s="1" t="n"/>
      <c r="V2" s="1" t="n"/>
    </row>
    <row r="3" ht="21" customHeight="1" s="195">
      <c r="A3" s="110" t="n"/>
      <c r="B3" s="1" t="n"/>
      <c r="C3" s="122" t="n"/>
      <c r="D3" s="2" t="inlineStr">
        <is>
          <t> </t>
        </is>
      </c>
      <c r="E3" s="2" t="inlineStr">
        <is>
          <t> </t>
        </is>
      </c>
      <c r="F3" s="2" t="n"/>
      <c r="G3" s="1" t="n"/>
      <c r="H3" s="1" t="n"/>
      <c r="I3" s="1" t="n"/>
      <c r="J3" s="1" t="n"/>
      <c r="K3" s="0" t="n"/>
      <c r="L3" s="0" t="n"/>
      <c r="M3" s="30" t="n"/>
      <c r="N3" s="119" t="inlineStr">
        <is>
          <t>JOB NO.</t>
        </is>
      </c>
      <c r="O3" s="188" t="inlineStr">
        <is>
          <t>Lachini Room – Tasting Vineyard</t>
        </is>
      </c>
      <c r="P3" s="189" t="n"/>
      <c r="Q3" s="189" t="n"/>
      <c r="R3" s="190" t="n"/>
      <c r="S3" s="194" t="inlineStr">
        <is>
          <t>ESTIMATOR</t>
        </is>
      </c>
      <c r="T3" s="171" t="inlineStr">
        <is>
          <t>RNC</t>
        </is>
      </c>
      <c r="U3" s="1" t="n"/>
      <c r="V3" s="1" t="n"/>
    </row>
    <row r="4" ht="19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200" t="n">
        <v>12500</v>
      </c>
      <c r="I4" s="1" t="n"/>
      <c r="J4" s="1" t="n"/>
      <c r="K4" s="0" t="n"/>
      <c r="L4" s="0" t="n"/>
      <c r="M4" s="3" t="n"/>
      <c r="N4" s="120" t="inlineStr">
        <is>
          <t>LOCATION</t>
        </is>
      </c>
      <c r="O4" s="191" t="inlineStr">
        <is>
          <t>123 Winery Rd</t>
        </is>
      </c>
      <c r="P4" s="189" t="n"/>
      <c r="Q4" s="189" t="n"/>
      <c r="R4" s="190" t="n"/>
      <c r="S4" s="96" t="n"/>
      <c r="T4" s="108" t="n"/>
      <c r="U4" s="1" t="n"/>
      <c r="V4" s="1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4" t="n"/>
      <c r="O5" s="191" t="inlineStr">
        <is>
          <t>Napa, CA 94558</t>
        </is>
      </c>
      <c r="P5" s="189" t="n"/>
      <c r="Q5" s="189" t="n"/>
      <c r="R5" s="190" t="n"/>
      <c r="S5" s="7" t="n"/>
      <c r="T5" s="5" t="n"/>
      <c r="U5" s="1" t="n"/>
      <c r="V5" s="1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100">
        <f>IFERROR(SUM($T:$T)/H4,0)</f>
        <v/>
      </c>
      <c r="I6" s="1" t="n"/>
      <c r="J6" s="1" t="n"/>
      <c r="K6" s="3" t="n"/>
      <c r="L6" s="3" t="n"/>
      <c r="M6" s="3" t="n"/>
      <c r="N6" s="4" t="n"/>
      <c r="O6" s="188" t="n"/>
      <c r="P6" s="189" t="n"/>
      <c r="Q6" s="189" t="n"/>
      <c r="R6" s="190" t="n"/>
      <c r="S6" s="7" t="n"/>
      <c r="T6" s="5" t="n"/>
      <c r="U6" s="1" t="n"/>
      <c r="V6" s="1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4" t="n"/>
      <c r="O7" s="7" t="n"/>
      <c r="P7" s="1" t="n"/>
      <c r="Q7" s="1" t="n"/>
      <c r="R7" s="7" t="n"/>
      <c r="S7" s="7" t="n"/>
      <c r="T7" s="6" t="n"/>
      <c r="U7" s="1" t="n"/>
      <c r="V7" s="1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4" t="n"/>
      <c r="O8" s="7" t="n"/>
      <c r="P8" s="1" t="n"/>
      <c r="Q8" s="1" t="n"/>
      <c r="R8" s="7" t="n"/>
      <c r="S8" s="7" t="n"/>
      <c r="T8" s="1" t="n"/>
      <c r="U8" s="1" t="n"/>
      <c r="V8" s="1" t="n"/>
    </row>
    <row r="9" ht="13" customHeight="1" s="195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96" t="inlineStr">
        <is>
          <t>PRICE EXTENSIONS</t>
        </is>
      </c>
      <c r="O9" s="7" t="n"/>
      <c r="P9" s="3" t="n"/>
      <c r="Q9" s="3" t="n"/>
      <c r="R9" s="7" t="n"/>
      <c r="S9" s="7" t="n"/>
      <c r="T9" s="2" t="n"/>
      <c r="U9" s="2" t="n"/>
      <c r="V9" s="1" t="n"/>
    </row>
    <row r="10" ht="13.5" customHeight="1" s="195">
      <c r="A10" s="109" t="n"/>
      <c r="B10" s="1" t="n"/>
      <c r="C10" s="1" t="n"/>
      <c r="D10" s="1" t="n"/>
      <c r="E10" s="2" t="n"/>
      <c r="F10" s="2" t="n"/>
      <c r="G10" s="3" t="inlineStr">
        <is>
          <t>UNIT PRICES</t>
        </is>
      </c>
      <c r="H10" s="3" t="n"/>
      <c r="I10" s="3" t="n"/>
      <c r="J10" s="3" t="n"/>
      <c r="K10" s="3" t="n"/>
      <c r="L10" s="3" t="n"/>
      <c r="M10" s="201" t="n">
        <v>41</v>
      </c>
      <c r="N10" s="104" t="n"/>
      <c r="O10" s="183" t="n">
        <v>0.5</v>
      </c>
      <c r="P10" s="104" t="n"/>
      <c r="Q10" s="104" t="n"/>
      <c r="R10" s="106" t="n"/>
      <c r="S10" s="89" t="n"/>
      <c r="T10" s="2" t="n"/>
      <c r="U10" s="2" t="inlineStr">
        <is>
          <t>PROOF</t>
        </is>
      </c>
      <c r="V10" s="1" t="inlineStr">
        <is>
          <t xml:space="preserve">ACCT </t>
        </is>
      </c>
    </row>
    <row r="11" ht="15" customHeight="1" s="195">
      <c r="A11" s="109" t="inlineStr">
        <is>
          <t>CODE</t>
        </is>
      </c>
      <c r="B11" s="1" t="n"/>
      <c r="C11" s="2" t="inlineStr">
        <is>
          <t>DESCRIPTION</t>
        </is>
      </c>
      <c r="D11" s="1" t="inlineStr">
        <is>
          <t>QUANTITY</t>
        </is>
      </c>
      <c r="E11" s="2" t="inlineStr">
        <is>
          <t>UNIT</t>
        </is>
      </c>
      <c r="F11" s="2" t="n"/>
      <c r="G11" s="9" t="inlineStr">
        <is>
          <t>LBR</t>
        </is>
      </c>
      <c r="H11" s="10" t="inlineStr">
        <is>
          <t>MTL</t>
        </is>
      </c>
      <c r="I11" s="10" t="inlineStr">
        <is>
          <t>SUBS</t>
        </is>
      </c>
      <c r="J11" s="10" t="inlineStr">
        <is>
          <t>EQUIP</t>
        </is>
      </c>
      <c r="K11" s="11" t="inlineStr">
        <is>
          <t>OTHR</t>
        </is>
      </c>
      <c r="L11" s="2" t="n"/>
      <c r="M11" s="2" t="inlineStr">
        <is>
          <t>HOURS</t>
        </is>
      </c>
      <c r="N11" s="105" t="inlineStr">
        <is>
          <t>LABOR</t>
        </is>
      </c>
      <c r="O11" s="107" t="inlineStr">
        <is>
          <t>BURDEN</t>
        </is>
      </c>
      <c r="P11" s="105" t="inlineStr">
        <is>
          <t>MATL</t>
        </is>
      </c>
      <c r="Q11" s="105" t="inlineStr">
        <is>
          <t>SUBS</t>
        </is>
      </c>
      <c r="R11" s="105" t="inlineStr">
        <is>
          <t>EQUIP</t>
        </is>
      </c>
      <c r="S11" s="103" t="inlineStr">
        <is>
          <t>OTHER</t>
        </is>
      </c>
      <c r="T11" s="2" t="inlineStr">
        <is>
          <t>TOTAL</t>
        </is>
      </c>
      <c r="U11" s="2" t="inlineStr">
        <is>
          <t>MUST=0</t>
        </is>
      </c>
      <c r="V11" s="1" t="n"/>
    </row>
    <row r="12" ht="10" customHeight="1" s="195">
      <c r="A12" s="109" t="n"/>
      <c r="B12" s="1" t="n"/>
      <c r="C12" s="13" t="n"/>
      <c r="D12" s="1" t="n"/>
      <c r="E12" s="2" t="n"/>
      <c r="F12" s="2" t="n"/>
      <c r="G12" s="91" t="n"/>
      <c r="H12" s="99" t="n"/>
      <c r="I12" s="91" t="n"/>
      <c r="J12" s="91" t="n"/>
      <c r="K12" s="100" t="n"/>
      <c r="L12" s="91" t="n"/>
      <c r="M12" s="1" t="n"/>
      <c r="N12" s="1" t="n"/>
      <c r="O12" s="7" t="n"/>
      <c r="P12" s="1" t="n"/>
      <c r="Q12" s="1" t="n"/>
      <c r="R12" s="1" t="n"/>
      <c r="S12" s="7" t="n"/>
      <c r="T12" s="12" t="n"/>
      <c r="U12" s="1" t="n"/>
      <c r="V12" s="1" t="n"/>
    </row>
    <row r="13" ht="12" customHeight="1" s="195">
      <c r="A13" s="173" t="n">
        <v>1010</v>
      </c>
      <c r="B13" s="185" t="inlineStr">
        <is>
          <t>MOBILIZATION &amp; SETUP</t>
        </is>
      </c>
      <c r="C13" s="186" t="n"/>
      <c r="D13" s="127" t="n">
        <v>1</v>
      </c>
      <c r="E13" s="128" t="inlineStr">
        <is>
          <t>HR</t>
        </is>
      </c>
      <c r="F13" s="128" t="n"/>
      <c r="G13" s="202" t="n"/>
      <c r="H13" s="202" t="n"/>
      <c r="I13" s="202" t="n"/>
      <c r="J13" s="202" t="n"/>
      <c r="K13" s="202" t="n"/>
      <c r="L13" s="100" t="n"/>
      <c r="M13" s="1">
        <f>IF(N13&gt;0,ROUND(N13/$M$10,0),0)</f>
        <v/>
      </c>
      <c r="N13" s="1">
        <f>(G13*D13)</f>
        <v/>
      </c>
      <c r="O13" s="7">
        <f>(N13*$O$10)</f>
        <v/>
      </c>
      <c r="P13" s="1">
        <f>(H13*D13)</f>
        <v/>
      </c>
      <c r="Q13" s="1">
        <f>(I13*D13)</f>
        <v/>
      </c>
      <c r="R13" s="1">
        <f>(J13*D13)</f>
        <v/>
      </c>
      <c r="S13" s="7">
        <f>(K13*D13)</f>
        <v/>
      </c>
      <c r="T13" s="12">
        <f>SUM(N13:S13)</f>
        <v/>
      </c>
      <c r="U13" s="1" t="n"/>
      <c r="V13" s="1" t="n"/>
    </row>
    <row r="14" ht="12" customHeight="1" s="195">
      <c r="A14" s="173" t="n">
        <v>1020</v>
      </c>
      <c r="B14" s="185" t="inlineStr">
        <is>
          <t>PRINTING &amp; SUPPLIES</t>
        </is>
      </c>
      <c r="C14" s="186" t="n"/>
      <c r="D14" s="127" t="n">
        <v>1</v>
      </c>
      <c r="E14" s="128" t="inlineStr">
        <is>
          <t>HR</t>
        </is>
      </c>
      <c r="F14" s="128" t="n"/>
      <c r="G14" s="202" t="n"/>
      <c r="H14" s="202" t="n"/>
      <c r="I14" s="202" t="n"/>
      <c r="J14" s="202" t="n"/>
      <c r="K14" s="202" t="n"/>
      <c r="L14" s="100" t="n"/>
      <c r="M14" s="1">
        <f>IF(N14&gt;0,ROUND(N14/$M$10,0),0)</f>
        <v/>
      </c>
      <c r="N14" s="1">
        <f>(G14*D14)</f>
        <v/>
      </c>
      <c r="O14" s="7">
        <f>(N14*$O$10)</f>
        <v/>
      </c>
      <c r="P14" s="1">
        <f>(H14*D14)</f>
        <v/>
      </c>
      <c r="Q14" s="1">
        <f>(I14*D14)</f>
        <v/>
      </c>
      <c r="R14" s="1">
        <f>(J14*D14)</f>
        <v/>
      </c>
      <c r="S14" s="7">
        <f>(K14*D14)</f>
        <v/>
      </c>
      <c r="T14" s="12">
        <f>SUM(N14:S14)</f>
        <v/>
      </c>
      <c r="U14" s="1" t="n"/>
      <c r="V14" s="1" t="n"/>
    </row>
    <row r="15" ht="12" customHeight="1" s="195">
      <c r="A15" s="173" t="n">
        <v>1030</v>
      </c>
      <c r="B15" s="185" t="inlineStr">
        <is>
          <t>PROJECT MANAGER</t>
        </is>
      </c>
      <c r="C15" s="186" t="n"/>
      <c r="D15" s="127" t="n">
        <v>1</v>
      </c>
      <c r="E15" s="128" t="inlineStr">
        <is>
          <t>HR</t>
        </is>
      </c>
      <c r="F15" s="128" t="n"/>
      <c r="G15" s="202" t="n"/>
      <c r="H15" s="129" t="n"/>
      <c r="I15" s="129" t="n"/>
      <c r="J15" s="130" t="n"/>
      <c r="K15" s="130" t="n"/>
      <c r="L15" s="100" t="n"/>
      <c r="M15" s="1">
        <f>IF(N15&gt;0,ROUND(N15/$M$10,0),0)</f>
        <v/>
      </c>
      <c r="N15" s="1">
        <f>(G15*D15)</f>
        <v/>
      </c>
      <c r="O15" s="7">
        <f>(N15*$O$10)</f>
        <v/>
      </c>
      <c r="P15" s="1">
        <f>(H15*D15)</f>
        <v/>
      </c>
      <c r="Q15" s="1">
        <f>(I15*D15)</f>
        <v/>
      </c>
      <c r="R15" s="1">
        <f>(J15*D15)</f>
        <v/>
      </c>
      <c r="S15" s="7">
        <f>(K15*D15)</f>
        <v/>
      </c>
      <c r="T15" s="12">
        <f>SUM(N15:S15)</f>
        <v/>
      </c>
      <c r="U15" s="1" t="n"/>
      <c r="V15" s="1" t="n"/>
    </row>
    <row r="16" ht="12" customHeight="1" s="195">
      <c r="A16" s="173" t="n">
        <v>1040</v>
      </c>
      <c r="B16" s="185" t="inlineStr">
        <is>
          <t>PROJECT SUPERINTENDENT</t>
        </is>
      </c>
      <c r="C16" s="186" t="n"/>
      <c r="D16" s="127" t="n">
        <v>1</v>
      </c>
      <c r="E16" s="128" t="inlineStr">
        <is>
          <t>HR</t>
        </is>
      </c>
      <c r="F16" s="128" t="n"/>
      <c r="G16" s="202" t="n"/>
      <c r="H16" s="129" t="n"/>
      <c r="I16" s="129" t="n"/>
      <c r="J16" s="130" t="n"/>
      <c r="K16" s="130" t="n"/>
      <c r="L16" s="100" t="n"/>
      <c r="M16" s="1">
        <f>IF(N16&gt;0,ROUND(N16/$M$10,0),0)</f>
        <v/>
      </c>
      <c r="N16" s="1">
        <f>(G16*D16)</f>
        <v/>
      </c>
      <c r="O16" s="7">
        <f>(N16*$O$10)</f>
        <v/>
      </c>
      <c r="P16" s="1">
        <f>(H16*D16)</f>
        <v/>
      </c>
      <c r="Q16" s="1">
        <f>(I16*D16)</f>
        <v/>
      </c>
      <c r="R16" s="1">
        <f>(J16*D16)</f>
        <v/>
      </c>
      <c r="S16" s="7">
        <f>(K16*D16)</f>
        <v/>
      </c>
      <c r="T16" s="12">
        <f>SUM(N16:S16)</f>
        <v/>
      </c>
      <c r="U16" s="1" t="n"/>
      <c r="V16" s="1" t="n"/>
    </row>
    <row r="17" ht="12" customHeight="1" s="195">
      <c r="A17" s="173" t="n">
        <v>1050</v>
      </c>
      <c r="B17" s="185" t="inlineStr">
        <is>
          <t>FIELD ENGINEERING / LAYOUT</t>
        </is>
      </c>
      <c r="C17" s="186" t="n"/>
      <c r="D17" s="127" t="n">
        <v>1</v>
      </c>
      <c r="E17" s="172" t="inlineStr">
        <is>
          <t>SF</t>
        </is>
      </c>
      <c r="F17" s="128" t="n"/>
      <c r="G17" s="202" t="n"/>
      <c r="H17" s="129" t="n"/>
      <c r="I17" s="129" t="n"/>
      <c r="J17" s="130" t="n"/>
      <c r="K17" s="130" t="n"/>
      <c r="L17" s="100" t="n"/>
      <c r="M17" s="1">
        <f>IF(N17&gt;0,ROUND(N17/$M$10,0),0)</f>
        <v/>
      </c>
      <c r="N17" s="1">
        <f>(G17*D17)</f>
        <v/>
      </c>
      <c r="O17" s="7">
        <f>(N17*$O$10)</f>
        <v/>
      </c>
      <c r="P17" s="1">
        <f>(H17*D17)</f>
        <v/>
      </c>
      <c r="Q17" s="1">
        <f>(I17*D17)</f>
        <v/>
      </c>
      <c r="R17" s="1">
        <f>(J17*D17)</f>
        <v/>
      </c>
      <c r="S17" s="7">
        <f>(K17*D17)</f>
        <v/>
      </c>
      <c r="T17" s="12">
        <f>SUM(N17:S17)</f>
        <v/>
      </c>
      <c r="U17" s="1" t="n"/>
      <c r="V17" s="1" t="n"/>
    </row>
    <row r="18" ht="12" customHeight="1" s="195">
      <c r="A18" s="173" t="n">
        <v>1060</v>
      </c>
      <c r="B18" s="185" t="inlineStr">
        <is>
          <t>INSPECTION &amp; TESTING</t>
        </is>
      </c>
      <c r="C18" s="186" t="n"/>
      <c r="D18" s="127" t="n">
        <v>1</v>
      </c>
      <c r="E18" s="128" t="inlineStr">
        <is>
          <t>HR</t>
        </is>
      </c>
      <c r="F18" s="128" t="n"/>
      <c r="G18" s="129" t="n"/>
      <c r="H18" s="129" t="n"/>
      <c r="I18" s="129" t="n"/>
      <c r="J18" s="130" t="n"/>
      <c r="K18" s="202" t="n"/>
      <c r="L18" s="100" t="n"/>
      <c r="M18" s="1">
        <f>IF(N18&gt;0,ROUND(N18/$M$10,0),0)</f>
        <v/>
      </c>
      <c r="N18" s="1">
        <f>(G18*D18)</f>
        <v/>
      </c>
      <c r="O18" s="7">
        <f>(N18*$O$10)</f>
        <v/>
      </c>
      <c r="P18" s="1">
        <f>(H18*D18)</f>
        <v/>
      </c>
      <c r="Q18" s="1">
        <f>(I18*D18)</f>
        <v/>
      </c>
      <c r="R18" s="1">
        <f>(J18*D18)</f>
        <v/>
      </c>
      <c r="S18" s="7">
        <f>(K18*D18)</f>
        <v/>
      </c>
      <c r="T18" s="12">
        <f>SUM(N18:S18)</f>
        <v/>
      </c>
      <c r="U18" s="1" t="n"/>
      <c r="V18" s="1" t="n"/>
    </row>
    <row r="19" ht="12" customHeight="1" s="195">
      <c r="A19" s="173" t="n">
        <v>1080</v>
      </c>
      <c r="B19" s="185" t="inlineStr">
        <is>
          <t>STRUCTURAL ENGINEERING</t>
        </is>
      </c>
      <c r="C19" s="186" t="n"/>
      <c r="D19" s="127" t="n">
        <v>1</v>
      </c>
      <c r="E19" s="128" t="inlineStr">
        <is>
          <t>HR</t>
        </is>
      </c>
      <c r="F19" s="128" t="n"/>
      <c r="G19" s="129" t="n"/>
      <c r="H19" s="129" t="n"/>
      <c r="I19" s="129" t="n"/>
      <c r="J19" s="130" t="n"/>
      <c r="K19" s="130" t="n"/>
      <c r="L19" s="100" t="n"/>
      <c r="M19" s="1">
        <f>IF(N19&gt;0,ROUND(N19/$M$10,0),0)</f>
        <v/>
      </c>
      <c r="N19" s="1">
        <f>(G19*D19)</f>
        <v/>
      </c>
      <c r="O19" s="7">
        <f>(N19*$O$10)</f>
        <v/>
      </c>
      <c r="P19" s="1">
        <f>(H19*D19)</f>
        <v/>
      </c>
      <c r="Q19" s="1">
        <f>(I19*D19)</f>
        <v/>
      </c>
      <c r="R19" s="1">
        <f>(J19*D19)</f>
        <v/>
      </c>
      <c r="S19" s="7">
        <f>(K19*D19)</f>
        <v/>
      </c>
      <c r="T19" s="12">
        <f>SUM(N19:S19)</f>
        <v/>
      </c>
      <c r="U19" s="1" t="n"/>
      <c r="V19" s="1" t="n"/>
    </row>
    <row r="20" ht="12" customHeight="1" s="195">
      <c r="A20" s="173" t="n">
        <v>1000</v>
      </c>
      <c r="B20" s="176" t="inlineStr">
        <is>
          <t>SMALL TOOLS / CONSUMABLES</t>
        </is>
      </c>
      <c r="C20" s="185" t="n"/>
      <c r="D20" s="127" t="n">
        <v>1</v>
      </c>
      <c r="E20" s="128" t="inlineStr">
        <is>
          <t>HR</t>
        </is>
      </c>
      <c r="F20" s="128" t="n"/>
      <c r="G20" s="202" t="n">
        <v>0</v>
      </c>
      <c r="H20" s="202" t="n"/>
      <c r="I20" s="202" t="n"/>
      <c r="J20" s="202" t="n"/>
      <c r="K20" s="202" t="n"/>
      <c r="L20" s="100" t="n"/>
      <c r="M20" s="1">
        <f>IF(N20&gt;0,ROUND(N20/$M$10,0),0)</f>
        <v/>
      </c>
      <c r="N20" s="1">
        <f>(G20*D20)</f>
        <v/>
      </c>
      <c r="O20" s="7">
        <f>(N20*$O$10)</f>
        <v/>
      </c>
      <c r="P20" s="1">
        <f>(H20*D20)</f>
        <v/>
      </c>
      <c r="Q20" s="1">
        <f>(I20*D20)</f>
        <v/>
      </c>
      <c r="R20" s="1">
        <f>(J20*D20)</f>
        <v/>
      </c>
      <c r="S20" s="7">
        <f>(K20*D20)</f>
        <v/>
      </c>
      <c r="T20" s="12">
        <f>SUM(N20:S20)</f>
        <v/>
      </c>
      <c r="U20" s="1" t="n"/>
      <c r="V20" s="1" t="n"/>
    </row>
    <row r="21" ht="12" customHeight="1" s="195">
      <c r="A21" s="173" t="n">
        <v>1000</v>
      </c>
      <c r="B21" s="176" t="inlineStr">
        <is>
          <t>PPE / SAFETY</t>
        </is>
      </c>
      <c r="C21" s="185" t="n"/>
      <c r="D21" s="127" t="n">
        <v>1</v>
      </c>
      <c r="E21" s="128" t="inlineStr">
        <is>
          <t>HR</t>
        </is>
      </c>
      <c r="F21" s="128" t="n"/>
      <c r="G21" s="202" t="n">
        <v>0</v>
      </c>
      <c r="H21" s="202" t="n"/>
      <c r="I21" s="202" t="n"/>
      <c r="J21" s="202" t="n"/>
      <c r="K21" s="202" t="n"/>
      <c r="L21" s="100" t="n"/>
      <c r="M21" s="1">
        <f>IF(N21&gt;0,ROUND(N21/$M$10,0),0)</f>
        <v/>
      </c>
      <c r="N21" s="1">
        <f>(G21*D21)</f>
        <v/>
      </c>
      <c r="O21" s="7">
        <f>(N21*$O$10)</f>
        <v/>
      </c>
      <c r="P21" s="1">
        <f>(H21*D21)</f>
        <v/>
      </c>
      <c r="Q21" s="1">
        <f>(I21*D21)</f>
        <v/>
      </c>
      <c r="R21" s="1">
        <f>(J21*D21)</f>
        <v/>
      </c>
      <c r="S21" s="7">
        <f>(K21*D21)</f>
        <v/>
      </c>
      <c r="T21" s="12">
        <f>SUM(N21:S21)</f>
        <v/>
      </c>
      <c r="U21" s="1" t="n"/>
      <c r="V21" s="1" t="n"/>
    </row>
    <row r="22" ht="12" customHeight="1" s="195">
      <c r="A22" s="173" t="n">
        <v>1000</v>
      </c>
      <c r="B22" s="176" t="inlineStr">
        <is>
          <t>ADMIN / TECH / SOFTWARE</t>
        </is>
      </c>
      <c r="C22" s="185" t="n"/>
      <c r="D22" s="127" t="n">
        <v>1</v>
      </c>
      <c r="E22" s="128" t="inlineStr">
        <is>
          <t>HR</t>
        </is>
      </c>
      <c r="F22" s="128" t="n"/>
      <c r="G22" s="202" t="n">
        <v>0</v>
      </c>
      <c r="H22" s="202" t="n"/>
      <c r="I22" s="202" t="n"/>
      <c r="J22" s="202" t="n"/>
      <c r="K22" s="202" t="n"/>
      <c r="L22" s="100" t="n"/>
      <c r="M22" s="1">
        <f>IF(N22&gt;0,ROUND(N22/$M$10,0),0)</f>
        <v/>
      </c>
      <c r="N22" s="1">
        <f>(G22*D22)</f>
        <v/>
      </c>
      <c r="O22" s="7">
        <f>(N22*$O$10)</f>
        <v/>
      </c>
      <c r="P22" s="1">
        <f>(H22*D22)</f>
        <v/>
      </c>
      <c r="Q22" s="1">
        <f>(I22*D22)</f>
        <v/>
      </c>
      <c r="R22" s="1">
        <f>(J22*D22)</f>
        <v/>
      </c>
      <c r="S22" s="7">
        <f>(K22*D22)</f>
        <v/>
      </c>
      <c r="T22" s="12">
        <f>SUM(N22:S22)</f>
        <v/>
      </c>
      <c r="U22" s="1" t="n"/>
      <c r="V22" s="1" t="n"/>
    </row>
    <row r="23" ht="12" customHeight="1" s="195">
      <c r="A23" s="173" t="n">
        <v>1000</v>
      </c>
      <c r="B23" s="176" t="inlineStr">
        <is>
          <t>TEMP PROTECTION</t>
        </is>
      </c>
      <c r="C23" s="185" t="n"/>
      <c r="D23" s="127" t="n">
        <v>1</v>
      </c>
      <c r="E23" s="128" t="inlineStr">
        <is>
          <t>HR</t>
        </is>
      </c>
      <c r="F23" s="128" t="n"/>
      <c r="G23" s="202" t="n">
        <v>0</v>
      </c>
      <c r="H23" s="202" t="n"/>
      <c r="I23" s="202" t="n"/>
      <c r="J23" s="202" t="n"/>
      <c r="K23" s="202" t="n"/>
      <c r="L23" s="100" t="n"/>
      <c r="M23" s="1">
        <f>IF(N23&gt;0,ROUND(N23/$M$10,0),0)</f>
        <v/>
      </c>
      <c r="N23" s="1">
        <f>(G23*D23)</f>
        <v/>
      </c>
      <c r="O23" s="7">
        <f>(N23*$O$10)</f>
        <v/>
      </c>
      <c r="P23" s="1">
        <f>(H23*D23)</f>
        <v/>
      </c>
      <c r="Q23" s="1">
        <f>(I23*D23)</f>
        <v/>
      </c>
      <c r="R23" s="1">
        <f>(J23*D23)</f>
        <v/>
      </c>
      <c r="S23" s="7">
        <f>(K23*D23)</f>
        <v/>
      </c>
      <c r="T23" s="12">
        <f>SUM(N23:S23)</f>
        <v/>
      </c>
      <c r="U23" s="1" t="n"/>
      <c r="V23" s="1" t="n"/>
    </row>
    <row r="24" ht="12" customHeight="1" s="195">
      <c r="A24" s="173" t="n">
        <v>1000</v>
      </c>
      <c r="B24" s="176" t="inlineStr">
        <is>
          <t>GC CONTINGENCY / MISC</t>
        </is>
      </c>
      <c r="C24" s="185" t="n"/>
      <c r="D24" s="127" t="n">
        <v>1</v>
      </c>
      <c r="E24" s="128" t="inlineStr">
        <is>
          <t>HR</t>
        </is>
      </c>
      <c r="F24" s="128" t="n"/>
      <c r="G24" s="202" t="n">
        <v>0</v>
      </c>
      <c r="H24" s="202" t="n"/>
      <c r="I24" s="202" t="n"/>
      <c r="J24" s="202" t="n"/>
      <c r="K24" s="202" t="n"/>
      <c r="L24" s="100" t="n"/>
      <c r="M24" s="1">
        <f>IF(N24&gt;0,ROUND(N24/$M$10,0),0)</f>
        <v/>
      </c>
      <c r="N24" s="1">
        <f>(G24*D24)</f>
        <v/>
      </c>
      <c r="O24" s="7">
        <f>(N24*$O$10)</f>
        <v/>
      </c>
      <c r="P24" s="1">
        <f>(H24*D24)</f>
        <v/>
      </c>
      <c r="Q24" s="1">
        <f>(I24*D24)</f>
        <v/>
      </c>
      <c r="R24" s="1">
        <f>(J24*D24)</f>
        <v/>
      </c>
      <c r="S24" s="7">
        <f>(K24*D24)</f>
        <v/>
      </c>
      <c r="T24" s="12">
        <f>SUM(N24:S24)</f>
        <v/>
      </c>
      <c r="U24" s="1" t="n"/>
      <c r="V24" s="1" t="n"/>
    </row>
    <row r="25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1" t="n"/>
      <c r="N25" s="1" t="n"/>
      <c r="O25" s="7" t="n"/>
      <c r="P25" s="1" t="n"/>
      <c r="Q25" s="1" t="n"/>
      <c r="R25" s="7" t="n"/>
      <c r="S25" s="7" t="n"/>
      <c r="T25" s="12" t="n"/>
      <c r="U25" s="1" t="n"/>
      <c r="V25" s="1" t="n"/>
    </row>
    <row r="26" ht="10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3">
        <f>SUM(M12:M25)</f>
        <v/>
      </c>
      <c r="N26" s="93">
        <f>SUM(N12:N25)</f>
        <v/>
      </c>
      <c r="O26" s="95">
        <f>SUM(O12:O25)</f>
        <v/>
      </c>
      <c r="P26" s="93">
        <f>SUM(P12:P25)</f>
        <v/>
      </c>
      <c r="Q26" s="93">
        <f>SUM(Q12:Q25)</f>
        <v/>
      </c>
      <c r="R26" s="95">
        <f>SUM(R12:R25)</f>
        <v/>
      </c>
      <c r="S26" s="95">
        <f>SUM(S12:S25)</f>
        <v/>
      </c>
      <c r="T26" s="98">
        <f>SUM(T12:T25)</f>
        <v/>
      </c>
      <c r="U26" s="203" t="n">
        <v>0</v>
      </c>
      <c r="V26" s="203" t="n">
        <v>42273.75</v>
      </c>
    </row>
    <row r="27" ht="10" customHeight="1" s="195">
      <c r="A27" s="109" t="n"/>
      <c r="B27" s="1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" t="n"/>
      <c r="N27" s="1" t="n"/>
      <c r="O27" s="7" t="n"/>
      <c r="P27" s="1" t="n"/>
      <c r="Q27" s="1" t="n"/>
      <c r="R27" s="1" t="n"/>
      <c r="S27" s="7" t="n"/>
      <c r="T27" s="12" t="n"/>
      <c r="U27" s="1" t="n"/>
      <c r="V27" s="1" t="n"/>
    </row>
    <row r="28" ht="12" customHeight="1" s="195">
      <c r="A28" s="126" t="n">
        <v>1600</v>
      </c>
      <c r="B28" s="185" t="inlineStr">
        <is>
          <t>SCAFFOLDING</t>
        </is>
      </c>
      <c r="C28" s="186" t="n"/>
      <c r="D28" s="127" t="n">
        <v>1</v>
      </c>
      <c r="E28" s="128" t="inlineStr">
        <is>
          <t>WK</t>
        </is>
      </c>
      <c r="F28" s="128" t="n"/>
      <c r="G28" s="129" t="n"/>
      <c r="H28" s="129" t="n"/>
      <c r="I28" s="129" t="n"/>
      <c r="J28" s="130" t="n"/>
      <c r="K28" s="130" t="n"/>
      <c r="L28" s="100" t="n"/>
      <c r="M28" s="1">
        <f>IF(N28&gt;0,ROUND(N28/$M$10,0),0)</f>
        <v/>
      </c>
      <c r="N28" s="1">
        <f>(G28*D28)</f>
        <v/>
      </c>
      <c r="O28" s="7">
        <f>(N28*$O$10)</f>
        <v/>
      </c>
      <c r="P28" s="1">
        <f>(H28*D28)</f>
        <v/>
      </c>
      <c r="Q28" s="1">
        <f>(I28*D28)</f>
        <v/>
      </c>
      <c r="R28" s="1">
        <f>(J28*D28)</f>
        <v/>
      </c>
      <c r="S28" s="7">
        <f>(K28*D28)</f>
        <v/>
      </c>
      <c r="T28" s="12">
        <f>SUM(N28:S28)</f>
        <v/>
      </c>
      <c r="U28" s="1" t="n"/>
      <c r="V28" s="1" t="n"/>
      <c r="X28" s="18" t="n"/>
    </row>
    <row r="29" ht="12" customHeight="1" s="195">
      <c r="A29" s="126" t="n">
        <v>1610</v>
      </c>
      <c r="B29" s="185" t="inlineStr">
        <is>
          <t>TEMP PROTECTION / BARRICADES</t>
        </is>
      </c>
      <c r="C29" s="186" t="n"/>
      <c r="D29" s="127" t="n">
        <v>1</v>
      </c>
      <c r="E29" s="128" t="inlineStr">
        <is>
          <t>SF</t>
        </is>
      </c>
      <c r="F29" s="128" t="n"/>
      <c r="G29" s="202" t="n"/>
      <c r="H29" s="204" t="n"/>
      <c r="I29" s="202" t="n"/>
      <c r="J29" s="202" t="n"/>
      <c r="K29" s="202" t="n"/>
      <c r="L29" s="100" t="n"/>
      <c r="M29" s="1">
        <f>IF(N29&gt;0,ROUND(N29/$M$10,0),0)</f>
        <v/>
      </c>
      <c r="N29" s="1">
        <f>(G29*D29)</f>
        <v/>
      </c>
      <c r="O29" s="7">
        <f>(N29*$O$10)</f>
        <v/>
      </c>
      <c r="P29" s="1">
        <f>(H29*D29)</f>
        <v/>
      </c>
      <c r="Q29" s="1">
        <f>(I29*D29)</f>
        <v/>
      </c>
      <c r="R29" s="1">
        <f>(J29*D29)</f>
        <v/>
      </c>
      <c r="S29" s="7">
        <f>(K29*D29)</f>
        <v/>
      </c>
      <c r="T29" s="12">
        <f>SUM(N29:S29)</f>
        <v/>
      </c>
      <c r="U29" s="1" t="n"/>
      <c r="V29" s="1" t="n"/>
    </row>
    <row r="30" ht="12" customHeight="1" s="195">
      <c r="A30" s="126" t="n">
        <v>1630</v>
      </c>
      <c r="B30" s="185" t="inlineStr">
        <is>
          <t>PERMITS &amp; PLANS</t>
        </is>
      </c>
      <c r="C30" s="186" t="n"/>
      <c r="D30" s="127" t="n">
        <v>1</v>
      </c>
      <c r="E30" s="128" t="inlineStr">
        <is>
          <t>EA</t>
        </is>
      </c>
      <c r="F30" s="128" t="n"/>
      <c r="G30" s="129" t="n"/>
      <c r="H30" s="129" t="n"/>
      <c r="I30" s="129" t="n"/>
      <c r="J30" s="130" t="n"/>
      <c r="K30" s="130" t="n"/>
      <c r="L30" s="100" t="n"/>
      <c r="M30" s="1">
        <f>IF(N30&gt;0,ROUND(N30/$M$10,0),0)</f>
        <v/>
      </c>
      <c r="N30" s="1">
        <f>(G30*D30)</f>
        <v/>
      </c>
      <c r="O30" s="7">
        <f>(N30*$O$10)</f>
        <v/>
      </c>
      <c r="P30" s="1">
        <f>(H30*D30)</f>
        <v/>
      </c>
      <c r="Q30" s="1">
        <f>(I30*D30)</f>
        <v/>
      </c>
      <c r="R30" s="1">
        <f>(J30*D30)</f>
        <v/>
      </c>
      <c r="S30" s="7">
        <f>(K30*D30)</f>
        <v/>
      </c>
      <c r="T30" s="12">
        <f>SUM(N30:S30)</f>
        <v/>
      </c>
      <c r="U30" s="1" t="n"/>
      <c r="V30" s="1" t="n"/>
    </row>
    <row r="31" ht="12" customHeight="1" s="195">
      <c r="A31" s="126" t="n">
        <v>1640</v>
      </c>
      <c r="B31" s="185" t="inlineStr">
        <is>
          <t>GAS EXPENSE</t>
        </is>
      </c>
      <c r="C31" s="186" t="n"/>
      <c r="D31" s="127" t="n">
        <v>1</v>
      </c>
      <c r="E31" s="172" t="inlineStr">
        <is>
          <t>MO</t>
        </is>
      </c>
      <c r="F31" s="128" t="n"/>
      <c r="G31" s="202" t="n"/>
      <c r="H31" s="202" t="n"/>
      <c r="I31" s="202" t="n"/>
      <c r="J31" s="202" t="n"/>
      <c r="K31" s="202" t="n"/>
      <c r="L31" s="100" t="n"/>
      <c r="M31" s="1">
        <f>IF(N31&gt;0,ROUND(N31/$M$10,0),0)</f>
        <v/>
      </c>
      <c r="N31" s="1">
        <f>(G31*D31)</f>
        <v/>
      </c>
      <c r="O31" s="7">
        <f>(N31*$O$10)</f>
        <v/>
      </c>
      <c r="P31" s="1">
        <f>(H31*D31)</f>
        <v/>
      </c>
      <c r="Q31" s="1">
        <f>(I31*D31)</f>
        <v/>
      </c>
      <c r="R31" s="1">
        <f>(J31*D31)</f>
        <v/>
      </c>
      <c r="S31" s="7">
        <f>(K31*D31)</f>
        <v/>
      </c>
      <c r="T31" s="12">
        <f>SUM(N31:S31)</f>
        <v/>
      </c>
      <c r="U31" s="1" t="n"/>
      <c r="V31" s="1" t="n"/>
    </row>
    <row r="32" ht="12" customHeight="1" s="195">
      <c r="A32" s="126" t="n">
        <v>1680</v>
      </c>
      <c r="B32" s="185" t="inlineStr">
        <is>
          <t>SMALL TOOLS / CONSUMABLES</t>
        </is>
      </c>
      <c r="C32" s="186" t="n"/>
      <c r="D32" s="127" t="n">
        <v>1</v>
      </c>
      <c r="E32" s="172" t="inlineStr">
        <is>
          <t>LS</t>
        </is>
      </c>
      <c r="F32" s="128" t="n"/>
      <c r="G32" s="202" t="n"/>
      <c r="H32" s="202" t="n"/>
      <c r="I32" s="202" t="n"/>
      <c r="J32" s="202" t="n"/>
      <c r="K32" s="202" t="n"/>
      <c r="L32" s="100" t="n"/>
      <c r="M32" s="1">
        <f>IF(N32&gt;0,ROUND(N32/$M$10,0),0)</f>
        <v/>
      </c>
      <c r="N32" s="1">
        <f>(G32*D32)</f>
        <v/>
      </c>
      <c r="O32" s="7">
        <f>(N32*$O$10)</f>
        <v/>
      </c>
      <c r="P32" s="1">
        <f>(H32*D32)</f>
        <v/>
      </c>
      <c r="Q32" s="1">
        <f>(I32*D32)</f>
        <v/>
      </c>
      <c r="R32" s="1">
        <f>(J32*D32)</f>
        <v/>
      </c>
      <c r="S32" s="7">
        <f>(K32*D32)</f>
        <v/>
      </c>
      <c r="T32" s="12">
        <f>SUM(N32:S32)</f>
        <v/>
      </c>
      <c r="U32" s="1" t="n"/>
      <c r="V32" s="1" t="n"/>
    </row>
    <row r="33" ht="12" customHeight="1" s="195">
      <c r="A33" s="126" t="n">
        <v>1690</v>
      </c>
      <c r="B33" s="185" t="inlineStr">
        <is>
          <t>FIELD OFFICE / ADMINISTRATION</t>
        </is>
      </c>
      <c r="C33" s="186" t="n"/>
      <c r="D33" s="127" t="n">
        <v>1</v>
      </c>
      <c r="E33" s="172" t="inlineStr">
        <is>
          <t>SF</t>
        </is>
      </c>
      <c r="F33" s="128" t="n"/>
      <c r="G33" s="202" t="n"/>
      <c r="H33" s="202" t="n"/>
      <c r="I33" s="202" t="n"/>
      <c r="J33" s="202" t="n"/>
      <c r="K33" s="202" t="n"/>
      <c r="L33" s="100" t="n"/>
      <c r="M33" s="1">
        <f>IF(N33&gt;0,ROUND(N33/$M$10,0),0)</f>
        <v/>
      </c>
      <c r="N33" s="1">
        <f>(G33*D33)</f>
        <v/>
      </c>
      <c r="O33" s="7">
        <f>(N33*$O$10)</f>
        <v/>
      </c>
      <c r="P33" s="1">
        <f>(H33*D33)</f>
        <v/>
      </c>
      <c r="Q33" s="1">
        <f>(I33*D33)</f>
        <v/>
      </c>
      <c r="R33" s="1">
        <f>(J33*D33)</f>
        <v/>
      </c>
      <c r="S33" s="7">
        <f>(K33*D33)</f>
        <v/>
      </c>
      <c r="T33" s="12">
        <f>SUM(N33:S33)</f>
        <v/>
      </c>
      <c r="U33" s="1" t="n"/>
      <c r="V33" s="1" t="n"/>
    </row>
    <row r="34" ht="12" customHeight="1" s="195">
      <c r="A34" s="126" t="n">
        <v>1600</v>
      </c>
      <c r="B34" s="176" t="inlineStr">
        <is>
          <t>SCAFFOLDING, PERMITS, FIELD OFFICE</t>
        </is>
      </c>
      <c r="C34" s="185" t="n"/>
      <c r="D34" s="127" t="n">
        <v>1</v>
      </c>
      <c r="E34" s="172" t="inlineStr">
        <is>
          <t>SF</t>
        </is>
      </c>
      <c r="F34" s="128" t="n"/>
      <c r="G34" s="129" t="n"/>
      <c r="H34" s="129" t="n"/>
      <c r="I34" s="129" t="n"/>
      <c r="J34" s="130" t="n"/>
      <c r="K34" s="130" t="n"/>
      <c r="L34" s="100" t="n"/>
      <c r="M34" s="1">
        <f>IF(N34&gt;0,ROUND(N34/$M$10,0),0)</f>
        <v/>
      </c>
      <c r="N34" s="1">
        <f>(G34*D34)</f>
        <v/>
      </c>
      <c r="O34" s="7">
        <f>(N34*$O$10)</f>
        <v/>
      </c>
      <c r="P34" s="1">
        <f>(H34*D34)</f>
        <v/>
      </c>
      <c r="Q34" s="1">
        <f>(I34*D34)</f>
        <v/>
      </c>
      <c r="R34" s="1">
        <f>(J34*D34)</f>
        <v/>
      </c>
      <c r="S34" s="7">
        <f>(K34*D34)</f>
        <v/>
      </c>
      <c r="T34" s="12">
        <f>SUM(N34:S34)</f>
        <v/>
      </c>
      <c r="U34" s="1" t="n"/>
      <c r="V34" s="1" t="n"/>
    </row>
    <row r="35" ht="12" customHeight="1" s="195">
      <c r="A35" s="126" t="n">
        <v>1600</v>
      </c>
      <c r="B35" s="176" t="inlineStr">
        <is>
          <t>SCAFFOLDING, PERMITS, FIELD OFFICE</t>
        </is>
      </c>
      <c r="C35" s="185" t="n"/>
      <c r="D35" s="127" t="n">
        <v>1</v>
      </c>
      <c r="E35" s="172" t="inlineStr">
        <is>
          <t>SF</t>
        </is>
      </c>
      <c r="F35" s="128" t="n"/>
      <c r="G35" s="129" t="n"/>
      <c r="H35" s="129" t="n"/>
      <c r="I35" s="129" t="n"/>
      <c r="J35" s="130" t="n"/>
      <c r="K35" s="130" t="n"/>
      <c r="L35" s="100" t="n"/>
      <c r="M35" s="1">
        <f>IF(N35&gt;0,ROUND(N35/$M$10,0),0)</f>
        <v/>
      </c>
      <c r="N35" s="1">
        <f>(G35*D35)</f>
        <v/>
      </c>
      <c r="O35" s="7">
        <f>(N35*$O$10)</f>
        <v/>
      </c>
      <c r="P35" s="1">
        <f>(H35*D35)</f>
        <v/>
      </c>
      <c r="Q35" s="1">
        <f>(I35*D35)</f>
        <v/>
      </c>
      <c r="R35" s="1">
        <f>(J35*D35)</f>
        <v/>
      </c>
      <c r="S35" s="7">
        <f>(K35*D35)</f>
        <v/>
      </c>
      <c r="T35" s="12">
        <f>SUM(N35:S35)</f>
        <v/>
      </c>
      <c r="U35" s="1" t="n"/>
      <c r="V35" s="1" t="n"/>
    </row>
    <row r="36" ht="12" customHeight="1" s="195">
      <c r="A36" s="126" t="n">
        <v>1600</v>
      </c>
      <c r="B36" s="176" t="inlineStr">
        <is>
          <t>SCAFFOLDING, PERMITS, FIELD OFFICE</t>
        </is>
      </c>
      <c r="C36" s="185" t="n"/>
      <c r="D36" s="127" t="n">
        <v>1</v>
      </c>
      <c r="E36" s="172" t="inlineStr">
        <is>
          <t>SF</t>
        </is>
      </c>
      <c r="F36" s="128" t="n"/>
      <c r="G36" s="129" t="n"/>
      <c r="H36" s="129" t="n"/>
      <c r="I36" s="129" t="n"/>
      <c r="J36" s="130" t="n"/>
      <c r="K36" s="130" t="n"/>
      <c r="L36" s="100" t="n"/>
      <c r="M36" s="1">
        <f>IF(N36&gt;0,ROUND(N36/$M$10,0),0)</f>
        <v/>
      </c>
      <c r="N36" s="1">
        <f>(G36*D36)</f>
        <v/>
      </c>
      <c r="O36" s="7">
        <f>(N36*$O$10)</f>
        <v/>
      </c>
      <c r="P36" s="1">
        <f>(H36*D36)</f>
        <v/>
      </c>
      <c r="Q36" s="1">
        <f>(I36*D36)</f>
        <v/>
      </c>
      <c r="R36" s="1">
        <f>(J36*D36)</f>
        <v/>
      </c>
      <c r="S36" s="7">
        <f>(K36*D36)</f>
        <v/>
      </c>
      <c r="T36" s="12">
        <f>SUM(N36:S36)</f>
        <v/>
      </c>
      <c r="U36" s="1" t="n"/>
      <c r="V36" s="1" t="n"/>
    </row>
    <row r="37" ht="12" customHeight="1" s="195">
      <c r="A37" s="126" t="n">
        <v>1600</v>
      </c>
      <c r="B37" s="176" t="inlineStr">
        <is>
          <t>SCAFFOLDING, PERMITS, FIELD OFFICE</t>
        </is>
      </c>
      <c r="C37" s="185" t="n"/>
      <c r="D37" s="127" t="n">
        <v>1</v>
      </c>
      <c r="E37" s="172" t="inlineStr">
        <is>
          <t>SF</t>
        </is>
      </c>
      <c r="F37" s="128" t="n"/>
      <c r="G37" s="129" t="n"/>
      <c r="H37" s="129" t="n"/>
      <c r="I37" s="129" t="n"/>
      <c r="J37" s="130" t="n"/>
      <c r="K37" s="130" t="n"/>
      <c r="L37" s="100" t="n"/>
      <c r="M37" s="1">
        <f>IF(N37&gt;0,ROUND(N37/$M$10,0),0)</f>
        <v/>
      </c>
      <c r="N37" s="1">
        <f>(G37*D37)</f>
        <v/>
      </c>
      <c r="O37" s="7">
        <f>(N37*$O$10)</f>
        <v/>
      </c>
      <c r="P37" s="1">
        <f>(H37*D37)</f>
        <v/>
      </c>
      <c r="Q37" s="1">
        <f>(I37*D37)</f>
        <v/>
      </c>
      <c r="R37" s="1">
        <f>(J37*D37)</f>
        <v/>
      </c>
      <c r="S37" s="7">
        <f>(K37*D37)</f>
        <v/>
      </c>
      <c r="T37" s="12">
        <f>SUM(N37:S37)</f>
        <v/>
      </c>
      <c r="U37" s="1" t="n"/>
      <c r="V37" s="1" t="n"/>
    </row>
    <row r="38" ht="12" customHeight="1" s="195">
      <c r="A38" s="126" t="n">
        <v>1600</v>
      </c>
      <c r="B38" s="176" t="inlineStr">
        <is>
          <t>SCAFFOLDING, PERMITS, FIELD OFFICE</t>
        </is>
      </c>
      <c r="C38" s="185" t="n"/>
      <c r="D38" s="127" t="n">
        <v>1</v>
      </c>
      <c r="E38" s="172" t="inlineStr">
        <is>
          <t>SF</t>
        </is>
      </c>
      <c r="F38" s="128" t="n"/>
      <c r="G38" s="129" t="n"/>
      <c r="H38" s="129" t="n"/>
      <c r="I38" s="129" t="n"/>
      <c r="J38" s="130" t="n"/>
      <c r="K38" s="130" t="n"/>
      <c r="L38" s="100" t="n"/>
      <c r="M38" s="1">
        <f>IF(N38&gt;0,ROUND(N38/$M$10,0),0)</f>
        <v/>
      </c>
      <c r="N38" s="1">
        <f>(G38*D38)</f>
        <v/>
      </c>
      <c r="O38" s="7">
        <f>(N38*$O$10)</f>
        <v/>
      </c>
      <c r="P38" s="1">
        <f>(H38*D38)</f>
        <v/>
      </c>
      <c r="Q38" s="1">
        <f>(I38*D38)</f>
        <v/>
      </c>
      <c r="R38" s="1">
        <f>(J38*D38)</f>
        <v/>
      </c>
      <c r="S38" s="7">
        <f>(K38*D38)</f>
        <v/>
      </c>
      <c r="T38" s="12">
        <f>SUM(N38:S38)</f>
        <v/>
      </c>
      <c r="U38" s="1" t="n"/>
      <c r="V38" s="1" t="n"/>
    </row>
    <row r="39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1" t="n"/>
      <c r="N39" s="1" t="n"/>
      <c r="O39" s="7" t="n"/>
      <c r="P39" s="1" t="n"/>
      <c r="Q39" s="1" t="n"/>
      <c r="R39" s="7" t="n"/>
      <c r="S39" s="7" t="n"/>
      <c r="T39" s="12" t="n"/>
      <c r="U39" s="1" t="n"/>
      <c r="V39" s="1" t="n"/>
    </row>
    <row r="40" ht="10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3">
        <f>SUM(M27:M39)</f>
        <v/>
      </c>
      <c r="N40" s="93">
        <f>SUM(N27:N39)</f>
        <v/>
      </c>
      <c r="O40" s="93">
        <f>SUM(O27:O39)</f>
        <v/>
      </c>
      <c r="P40" s="93">
        <f>SUM(P27:P39)</f>
        <v/>
      </c>
      <c r="Q40" s="93">
        <f>SUM(Q27:Q39)</f>
        <v/>
      </c>
      <c r="R40" s="93">
        <f>SUM(R27:R39)</f>
        <v/>
      </c>
      <c r="S40" s="93">
        <f>SUM(S27:S39)</f>
        <v/>
      </c>
      <c r="T40" s="93">
        <f>SUM(T27:T39)</f>
        <v/>
      </c>
      <c r="U40" s="203" t="n">
        <v>0</v>
      </c>
      <c r="V40" s="203" t="n">
        <v>3300</v>
      </c>
    </row>
    <row r="41" ht="10" customHeight="1" s="195">
      <c r="A41" s="109" t="n"/>
      <c r="B41" s="1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" t="n"/>
      <c r="N41" s="1" t="n"/>
      <c r="O41" s="7" t="n"/>
      <c r="P41" s="1" t="n"/>
      <c r="Q41" s="1" t="n"/>
      <c r="R41" s="1" t="n"/>
      <c r="S41" s="7" t="n"/>
      <c r="T41" s="12" t="n"/>
      <c r="U41" s="1" t="n"/>
      <c r="V41" s="1" t="n"/>
    </row>
    <row r="42" ht="12" customHeight="1" s="195">
      <c r="A42" s="173" t="n">
        <v>1710</v>
      </c>
      <c r="B42" s="185" t="inlineStr">
        <is>
          <t>CONTINUOUS CLEANUP</t>
        </is>
      </c>
      <c r="C42" s="186" t="n"/>
      <c r="D42" s="127" t="n">
        <v>1</v>
      </c>
      <c r="E42" s="169" t="inlineStr">
        <is>
          <t>LS</t>
        </is>
      </c>
      <c r="F42" s="128" t="n"/>
      <c r="G42" s="202" t="n"/>
      <c r="H42" s="202" t="n"/>
      <c r="I42" s="202" t="n"/>
      <c r="J42" s="202" t="n"/>
      <c r="K42" s="202" t="n"/>
      <c r="L42" s="100" t="n"/>
      <c r="M42" s="1">
        <f>IF(N42&gt;0,ROUND(N42/$M$10,0),0)</f>
        <v/>
      </c>
      <c r="N42" s="1">
        <f>(G42*D42)</f>
        <v/>
      </c>
      <c r="O42" s="7">
        <f>(N42*$O$10)</f>
        <v/>
      </c>
      <c r="P42" s="1">
        <f>(H42*D42)</f>
        <v/>
      </c>
      <c r="Q42" s="1">
        <f>(I42*D42)</f>
        <v/>
      </c>
      <c r="R42" s="1">
        <f>(J42*D42)</f>
        <v/>
      </c>
      <c r="S42" s="7">
        <f>(K42*D42)</f>
        <v/>
      </c>
      <c r="T42" s="12">
        <f>SUM(N42:S42)</f>
        <v/>
      </c>
      <c r="U42" s="1" t="n"/>
      <c r="V42" s="1" t="n"/>
    </row>
    <row r="43" ht="12" customHeight="1" s="195">
      <c r="A43" s="173" t="n">
        <v>1711</v>
      </c>
      <c r="B43" s="185" t="inlineStr">
        <is>
          <t>FINAL CLEANUP</t>
        </is>
      </c>
      <c r="C43" s="186" t="n"/>
      <c r="D43" s="127" t="n">
        <v>1</v>
      </c>
      <c r="E43" s="128" t="inlineStr">
        <is>
          <t>SF</t>
        </is>
      </c>
      <c r="F43" s="128" t="n"/>
      <c r="G43" s="202" t="n"/>
      <c r="H43" s="202" t="n"/>
      <c r="I43" s="202" t="n"/>
      <c r="J43" s="202" t="n"/>
      <c r="K43" s="202" t="n"/>
      <c r="L43" s="100" t="n"/>
      <c r="M43" s="1">
        <f>IF(N43&gt;0,ROUND(N43/$M$10,0),0)</f>
        <v/>
      </c>
      <c r="N43" s="1">
        <f>(G43*D43)</f>
        <v/>
      </c>
      <c r="O43" s="7">
        <f>(N43*$O$10)</f>
        <v/>
      </c>
      <c r="P43" s="1">
        <f>(H43*D43)</f>
        <v/>
      </c>
      <c r="Q43" s="1">
        <f>(I43*D43)</f>
        <v/>
      </c>
      <c r="R43" s="1">
        <f>(J43*D43)</f>
        <v/>
      </c>
      <c r="S43" s="7">
        <f>(K43*D43)</f>
        <v/>
      </c>
      <c r="T43" s="12">
        <f>SUM(N43:S43)</f>
        <v/>
      </c>
      <c r="U43" s="1" t="n"/>
      <c r="V43" s="1" t="n"/>
    </row>
    <row r="44" ht="12" customHeight="1" s="195">
      <c r="A44" s="173" t="n">
        <v>1715</v>
      </c>
      <c r="B44" s="185" t="inlineStr">
        <is>
          <t xml:space="preserve">DUMPSTER </t>
        </is>
      </c>
      <c r="C44" s="186" t="n"/>
      <c r="D44" s="127" t="n">
        <v>1</v>
      </c>
      <c r="E44" s="128" t="inlineStr">
        <is>
          <t>EA</t>
        </is>
      </c>
      <c r="F44" s="128" t="n"/>
      <c r="G44" s="202" t="n"/>
      <c r="H44" s="202" t="n"/>
      <c r="I44" s="202" t="n"/>
      <c r="J44" s="202" t="n"/>
      <c r="K44" s="202" t="n"/>
      <c r="L44" s="100" t="n"/>
      <c r="M44" s="1">
        <f>IF(N44&gt;0,ROUND(N44/$M$10,0),0)</f>
        <v/>
      </c>
      <c r="N44" s="1">
        <f>(G44*D44)</f>
        <v/>
      </c>
      <c r="O44" s="7">
        <f>(N44*$O$10)</f>
        <v/>
      </c>
      <c r="P44" s="1">
        <f>(H44*D44)</f>
        <v/>
      </c>
      <c r="Q44" s="1">
        <f>(I44*D44)</f>
        <v/>
      </c>
      <c r="R44" s="1">
        <f>(J44*D44)</f>
        <v/>
      </c>
      <c r="S44" s="7">
        <f>(K44*D44)</f>
        <v/>
      </c>
      <c r="T44" s="12">
        <f>SUM(N44:S44)</f>
        <v/>
      </c>
      <c r="U44" s="1" t="n"/>
      <c r="V44" s="1" t="n"/>
    </row>
    <row r="45" ht="12" customHeight="1" s="195">
      <c r="A45" s="173" t="n">
        <v>1730</v>
      </c>
      <c r="B45" s="185" t="inlineStr">
        <is>
          <t>SIGNAGE</t>
        </is>
      </c>
      <c r="C45" s="186" t="n"/>
      <c r="D45" s="127" t="n">
        <v>1</v>
      </c>
      <c r="E45" s="128" t="inlineStr">
        <is>
          <t>WK</t>
        </is>
      </c>
      <c r="F45" s="128" t="n"/>
      <c r="G45" s="202" t="n"/>
      <c r="H45" s="202" t="n"/>
      <c r="I45" s="202" t="n"/>
      <c r="J45" s="202" t="n"/>
      <c r="K45" s="202" t="n"/>
      <c r="L45" s="100" t="n"/>
      <c r="M45" s="1">
        <f>IF(N45&gt;0,ROUND(N45/$M$10,0),0)</f>
        <v/>
      </c>
      <c r="N45" s="1">
        <f>(G45*D45)</f>
        <v/>
      </c>
      <c r="O45" s="7">
        <f>(N45*$O$10)</f>
        <v/>
      </c>
      <c r="P45" s="1">
        <f>(H45*D45)</f>
        <v/>
      </c>
      <c r="Q45" s="1">
        <f>(I45*D45)</f>
        <v/>
      </c>
      <c r="R45" s="1">
        <f>(J45*D45)</f>
        <v/>
      </c>
      <c r="S45" s="7">
        <f>(K45*D45)</f>
        <v/>
      </c>
      <c r="T45" s="12">
        <f>SUM(N45:S45)</f>
        <v/>
      </c>
      <c r="U45" s="1" t="n"/>
      <c r="V45" s="1" t="n"/>
    </row>
    <row r="46" ht="12" customHeight="1" s="195">
      <c r="A46" s="173" t="n">
        <v>1750</v>
      </c>
      <c r="B46" s="185" t="inlineStr">
        <is>
          <t>CLOSEOUT &amp; CLEANUP</t>
        </is>
      </c>
      <c r="C46" s="186" t="n"/>
      <c r="D46" s="127" t="n">
        <v>1</v>
      </c>
      <c r="E46" s="128" t="inlineStr">
        <is>
          <t>WK</t>
        </is>
      </c>
      <c r="F46" s="128" t="n"/>
      <c r="G46" s="202" t="n"/>
      <c r="H46" s="202" t="n"/>
      <c r="I46" s="202" t="n"/>
      <c r="J46" s="202" t="n"/>
      <c r="K46" s="202" t="n"/>
      <c r="L46" s="100" t="n"/>
      <c r="M46" s="1">
        <f>IF(N46&gt;0,ROUND(N46/$M$10,0),0)</f>
        <v/>
      </c>
      <c r="N46" s="1">
        <f>(G46*D46)</f>
        <v/>
      </c>
      <c r="O46" s="7">
        <f>(N46*$O$10)</f>
        <v/>
      </c>
      <c r="P46" s="1">
        <f>(H46*D46)</f>
        <v/>
      </c>
      <c r="Q46" s="1">
        <f>(I46*D46)</f>
        <v/>
      </c>
      <c r="R46" s="1">
        <f>(J46*D46)</f>
        <v/>
      </c>
      <c r="S46" s="7">
        <f>(K46*D46)</f>
        <v/>
      </c>
      <c r="T46" s="12">
        <f>SUM(N46:S46)</f>
        <v/>
      </c>
      <c r="U46" s="1" t="n"/>
      <c r="V46" s="1" t="n"/>
    </row>
    <row r="47" ht="12" customHeight="1" s="195">
      <c r="A47" s="173" t="n">
        <v>1760</v>
      </c>
      <c r="B47" s="185" t="inlineStr">
        <is>
          <t>SAFETY SUPPLIES</t>
        </is>
      </c>
      <c r="C47" s="186" t="n"/>
      <c r="D47" s="127" t="n">
        <v>1</v>
      </c>
      <c r="E47" s="128" t="inlineStr">
        <is>
          <t>EA</t>
        </is>
      </c>
      <c r="F47" s="128" t="n"/>
      <c r="G47" s="202" t="n"/>
      <c r="H47" s="202" t="n"/>
      <c r="I47" s="202" t="n"/>
      <c r="J47" s="202" t="n"/>
      <c r="K47" s="202" t="n"/>
      <c r="L47" s="100" t="n"/>
      <c r="M47" s="1">
        <f>IF(N47&gt;0,ROUND(N47/$M$10,0),0)</f>
        <v/>
      </c>
      <c r="N47" s="1">
        <f>(G47*D47)</f>
        <v/>
      </c>
      <c r="O47" s="7">
        <f>(N47*$O$10)</f>
        <v/>
      </c>
      <c r="P47" s="1">
        <f>(H47*D47)</f>
        <v/>
      </c>
      <c r="Q47" s="1">
        <f>(I47*D47)</f>
        <v/>
      </c>
      <c r="R47" s="1">
        <f>(J47*D47)</f>
        <v/>
      </c>
      <c r="S47" s="7">
        <f>(K47*D47)</f>
        <v/>
      </c>
      <c r="T47" s="12">
        <f>SUM(N47:S47)</f>
        <v/>
      </c>
      <c r="U47" s="1" t="n"/>
      <c r="V47" s="1" t="n"/>
    </row>
    <row r="48" ht="12" customHeight="1" s="195">
      <c r="A48" s="173" t="n">
        <v>1700</v>
      </c>
      <c r="B48" s="176" t="inlineStr">
        <is>
          <t>PROJECT CLEANUP &amp; CLOSEOUT</t>
        </is>
      </c>
      <c r="C48" s="185" t="n"/>
      <c r="D48" s="127" t="n">
        <v>1</v>
      </c>
      <c r="E48" s="128" t="inlineStr">
        <is>
          <t>EA</t>
        </is>
      </c>
      <c r="F48" s="128" t="n"/>
      <c r="G48" s="129" t="n"/>
      <c r="H48" s="129" t="n"/>
      <c r="I48" s="129" t="n"/>
      <c r="J48" s="130" t="n"/>
      <c r="K48" s="130" t="n"/>
      <c r="L48" s="100" t="n"/>
      <c r="M48" s="1">
        <f>IF(N48&gt;0,ROUND(N48/$M$10,0),0)</f>
        <v/>
      </c>
      <c r="N48" s="1">
        <f>(G48*D48)</f>
        <v/>
      </c>
      <c r="O48" s="7">
        <f>(N48*$O$10)</f>
        <v/>
      </c>
      <c r="P48" s="1">
        <f>(H48*D48)</f>
        <v/>
      </c>
      <c r="Q48" s="1">
        <f>(I48*D48)</f>
        <v/>
      </c>
      <c r="R48" s="1">
        <f>(J48*D48)</f>
        <v/>
      </c>
      <c r="S48" s="7">
        <f>(K48*D48)</f>
        <v/>
      </c>
      <c r="T48" s="12">
        <f>SUM(N48:S48)</f>
        <v/>
      </c>
      <c r="U48" s="1" t="n"/>
      <c r="V48" s="1" t="n"/>
    </row>
    <row r="49" ht="12" customHeight="1" s="195">
      <c r="A49" s="173" t="n">
        <v>1700</v>
      </c>
      <c r="B49" s="176" t="inlineStr">
        <is>
          <t>PROJECT CLEANUP &amp; CLOSEOUT</t>
        </is>
      </c>
      <c r="C49" s="185" t="n"/>
      <c r="D49" s="127" t="n">
        <v>1</v>
      </c>
      <c r="E49" s="128" t="inlineStr">
        <is>
          <t>EA</t>
        </is>
      </c>
      <c r="F49" s="128" t="n"/>
      <c r="G49" s="129" t="n"/>
      <c r="H49" s="129" t="n"/>
      <c r="I49" s="129" t="n"/>
      <c r="J49" s="130" t="n"/>
      <c r="K49" s="130" t="n"/>
      <c r="L49" s="100" t="n"/>
      <c r="M49" s="1">
        <f>IF(N49&gt;0,ROUND(N49/$M$10,0),0)</f>
        <v/>
      </c>
      <c r="N49" s="1">
        <f>(G49*D49)</f>
        <v/>
      </c>
      <c r="O49" s="7">
        <f>(N49*$O$10)</f>
        <v/>
      </c>
      <c r="P49" s="1">
        <f>(H49*D49)</f>
        <v/>
      </c>
      <c r="Q49" s="1">
        <f>(I49*D49)</f>
        <v/>
      </c>
      <c r="R49" s="1">
        <f>(J49*D49)</f>
        <v/>
      </c>
      <c r="S49" s="7">
        <f>(K49*D49)</f>
        <v/>
      </c>
      <c r="T49" s="12">
        <f>SUM(N49:S49)</f>
        <v/>
      </c>
      <c r="U49" s="1" t="n"/>
      <c r="V49" s="1" t="n"/>
    </row>
    <row r="50" ht="12" customHeight="1" s="195">
      <c r="A50" s="173" t="n">
        <v>1700</v>
      </c>
      <c r="B50" s="176" t="inlineStr">
        <is>
          <t>PROJECT CLEANUP &amp; CLOSEOUT</t>
        </is>
      </c>
      <c r="C50" s="185" t="n"/>
      <c r="D50" s="127" t="n">
        <v>1</v>
      </c>
      <c r="E50" s="128" t="inlineStr">
        <is>
          <t>EA</t>
        </is>
      </c>
      <c r="F50" s="128" t="n"/>
      <c r="G50" s="129" t="n"/>
      <c r="H50" s="129" t="n"/>
      <c r="I50" s="129" t="n"/>
      <c r="J50" s="130" t="n"/>
      <c r="K50" s="130" t="n"/>
      <c r="L50" s="100" t="n"/>
      <c r="M50" s="1">
        <f>IF(N50&gt;0,ROUND(N50/$M$10,0),0)</f>
        <v/>
      </c>
      <c r="N50" s="1">
        <f>(G50*D50)</f>
        <v/>
      </c>
      <c r="O50" s="7">
        <f>(N50*$O$10)</f>
        <v/>
      </c>
      <c r="P50" s="1">
        <f>(H50*D50)</f>
        <v/>
      </c>
      <c r="Q50" s="1">
        <f>(I50*D50)</f>
        <v/>
      </c>
      <c r="R50" s="1">
        <f>(J50*D50)</f>
        <v/>
      </c>
      <c r="S50" s="7">
        <f>(K50*D50)</f>
        <v/>
      </c>
      <c r="T50" s="12">
        <f>SUM(N50:S50)</f>
        <v/>
      </c>
      <c r="U50" s="1" t="n"/>
      <c r="V50" s="1" t="n"/>
    </row>
    <row r="51" ht="12" customHeight="1" s="195">
      <c r="A51" s="173" t="n">
        <v>1700</v>
      </c>
      <c r="B51" s="176" t="inlineStr">
        <is>
          <t>PROJECT CLEANUP &amp; CLOSEOUT</t>
        </is>
      </c>
      <c r="C51" s="185" t="n"/>
      <c r="D51" s="127" t="n">
        <v>1</v>
      </c>
      <c r="E51" s="128" t="inlineStr">
        <is>
          <t>EA</t>
        </is>
      </c>
      <c r="F51" s="128" t="n"/>
      <c r="G51" s="129" t="n"/>
      <c r="H51" s="129" t="n"/>
      <c r="I51" s="129" t="n"/>
      <c r="J51" s="130" t="n"/>
      <c r="K51" s="130" t="n"/>
      <c r="L51" s="100" t="n"/>
      <c r="M51" s="1">
        <f>IF(N51&gt;0,ROUND(N51/$M$10,0),0)</f>
        <v/>
      </c>
      <c r="N51" s="1">
        <f>(G51*D51)</f>
        <v/>
      </c>
      <c r="O51" s="7">
        <f>(N51*$O$10)</f>
        <v/>
      </c>
      <c r="P51" s="1">
        <f>(H51*D51)</f>
        <v/>
      </c>
      <c r="Q51" s="1">
        <f>(I51*D51)</f>
        <v/>
      </c>
      <c r="R51" s="1">
        <f>(J51*D51)</f>
        <v/>
      </c>
      <c r="S51" s="7">
        <f>(K51*D51)</f>
        <v/>
      </c>
      <c r="T51" s="12">
        <f>SUM(N51:S51)</f>
        <v/>
      </c>
      <c r="U51" s="1" t="n"/>
      <c r="V51" s="1" t="n"/>
    </row>
    <row r="52" ht="12" customHeight="1" s="195">
      <c r="A52" s="173" t="n">
        <v>1700</v>
      </c>
      <c r="B52" s="176" t="inlineStr">
        <is>
          <t>PROJECT CLEANUP &amp; CLOSEOUT</t>
        </is>
      </c>
      <c r="C52" s="185" t="n"/>
      <c r="D52" s="127" t="n">
        <v>1</v>
      </c>
      <c r="E52" s="128" t="inlineStr">
        <is>
          <t>EA</t>
        </is>
      </c>
      <c r="F52" s="128" t="n"/>
      <c r="G52" s="129" t="n"/>
      <c r="H52" s="129" t="n"/>
      <c r="I52" s="129" t="n"/>
      <c r="J52" s="130" t="n"/>
      <c r="K52" s="130" t="n"/>
      <c r="L52" s="100" t="n"/>
      <c r="M52" s="1">
        <f>IF(N52&gt;0,ROUND(N52/$M$10,0),0)</f>
        <v/>
      </c>
      <c r="N52" s="1">
        <f>(G52*D52)</f>
        <v/>
      </c>
      <c r="O52" s="7">
        <f>(N52*$O$10)</f>
        <v/>
      </c>
      <c r="P52" s="1">
        <f>(H52*D52)</f>
        <v/>
      </c>
      <c r="Q52" s="1">
        <f>(I52*D52)</f>
        <v/>
      </c>
      <c r="R52" s="1">
        <f>(J52*D52)</f>
        <v/>
      </c>
      <c r="S52" s="7">
        <f>(K52*D52)</f>
        <v/>
      </c>
      <c r="T52" s="12">
        <f>SUM(N52:S52)</f>
        <v/>
      </c>
      <c r="U52" s="1" t="n"/>
      <c r="V52" s="1" t="n"/>
    </row>
    <row r="53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1" t="n"/>
      <c r="N53" s="1" t="n"/>
      <c r="O53" s="7" t="n"/>
      <c r="P53" s="1" t="n"/>
      <c r="Q53" s="1" t="n"/>
      <c r="R53" s="7" t="n"/>
      <c r="S53" s="7" t="n"/>
      <c r="T53" s="12" t="n"/>
      <c r="U53" s="1" t="n"/>
      <c r="V53" s="1" t="n"/>
    </row>
    <row r="54" ht="10" customHeight="1" s="195">
      <c r="A54" s="125" t="n">
        <v>1700</v>
      </c>
      <c r="B54" s="98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3">
        <f>SUM(M41:M53)</f>
        <v/>
      </c>
      <c r="N54" s="93">
        <f>SUM(N41:N53)</f>
        <v/>
      </c>
      <c r="O54" s="93">
        <f>SUM(O41:O53)</f>
        <v/>
      </c>
      <c r="P54" s="93">
        <f>SUM(P41:P53)</f>
        <v/>
      </c>
      <c r="Q54" s="93">
        <f>SUM(Q41:Q53)</f>
        <v/>
      </c>
      <c r="R54" s="93">
        <f>SUM(R41:R53)</f>
        <v/>
      </c>
      <c r="S54" s="93">
        <f>SUM(S41:S53)</f>
        <v/>
      </c>
      <c r="T54" s="93">
        <f>SUM(T41:T53)</f>
        <v/>
      </c>
      <c r="U54" s="203" t="n">
        <v>0</v>
      </c>
      <c r="V54" s="203" t="n">
        <v>3675</v>
      </c>
    </row>
    <row r="55" ht="10" customHeight="1" s="195">
      <c r="A55" s="109" t="inlineStr">
        <is>
          <t> </t>
        </is>
      </c>
      <c r="B55" s="1" t="inlineStr">
        <is>
          <t> </t>
        </is>
      </c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" t="n"/>
      <c r="N55" s="1" t="n"/>
      <c r="O55" s="7" t="n"/>
      <c r="P55" s="1" t="n"/>
      <c r="Q55" s="1" t="n"/>
      <c r="R55" s="1" t="n"/>
      <c r="S55" s="7" t="n"/>
      <c r="T55" s="12" t="n"/>
      <c r="U55" s="1" t="n"/>
      <c r="V55" s="1" t="n"/>
    </row>
    <row r="56" ht="12" customHeight="1" s="195">
      <c r="A56" s="173" t="n">
        <v>2090</v>
      </c>
      <c r="B56" s="185" t="inlineStr">
        <is>
          <t>DEMOLITION</t>
        </is>
      </c>
      <c r="C56" s="186" t="n"/>
      <c r="D56" s="127" t="n">
        <v>1</v>
      </c>
      <c r="E56" s="169" t="inlineStr">
        <is>
          <t>LS</t>
        </is>
      </c>
      <c r="F56" s="128" t="n"/>
      <c r="G56" s="129" t="n"/>
      <c r="H56" s="129" t="n"/>
      <c r="I56" s="205" t="n">
        <v>75000</v>
      </c>
      <c r="J56" s="130" t="n"/>
      <c r="K56" s="130" t="n"/>
      <c r="L56" s="100" t="n"/>
      <c r="M56" s="1">
        <f>IF(N56&gt;0,ROUND(N56/$M$10,0),0)</f>
        <v/>
      </c>
      <c r="N56" s="1">
        <f>(G56*D56)</f>
        <v/>
      </c>
      <c r="O56" s="7">
        <f>(N56*$O$10)</f>
        <v/>
      </c>
      <c r="P56" s="1">
        <f>(H56*D56)</f>
        <v/>
      </c>
      <c r="Q56" s="1">
        <f>(I56*D56)</f>
        <v/>
      </c>
      <c r="R56" s="1">
        <f>(J56*D56)</f>
        <v/>
      </c>
      <c r="S56" s="7">
        <f>(K56*D56)</f>
        <v/>
      </c>
      <c r="T56" s="12">
        <f>SUM(N56:S56)</f>
        <v/>
      </c>
      <c r="U56" s="1" t="n"/>
      <c r="V56" s="1" t="n"/>
    </row>
    <row r="57" ht="12" customHeight="1" s="195">
      <c r="A57" s="173" t="n">
        <v>2100</v>
      </c>
      <c r="B57" s="185" t="inlineStr">
        <is>
          <t>SITE PREPARATION</t>
        </is>
      </c>
      <c r="C57" s="186" t="n"/>
      <c r="D57" s="127" t="n">
        <v>1</v>
      </c>
      <c r="E57" s="128" t="inlineStr">
        <is>
          <t>SF</t>
        </is>
      </c>
      <c r="F57" s="128" t="n"/>
      <c r="G57" s="129" t="n"/>
      <c r="H57" s="129" t="n"/>
      <c r="I57" s="129" t="n"/>
      <c r="J57" s="130" t="n"/>
      <c r="K57" s="130" t="n"/>
      <c r="L57" s="100" t="n"/>
      <c r="M57" s="1">
        <f>IF(N57&gt;0,ROUND(N57/$M$10,0),0)</f>
        <v/>
      </c>
      <c r="N57" s="1">
        <f>(G57*D57)</f>
        <v/>
      </c>
      <c r="O57" s="7">
        <f>(N57*$O$10)</f>
        <v/>
      </c>
      <c r="P57" s="1">
        <f>(H57*D57)</f>
        <v/>
      </c>
      <c r="Q57" s="1">
        <f>(I57*D57)</f>
        <v/>
      </c>
      <c r="R57" s="1">
        <f>(J57*D57)</f>
        <v/>
      </c>
      <c r="S57" s="7">
        <f>(K57*D57)</f>
        <v/>
      </c>
      <c r="T57" s="12">
        <f>SUM(N57:S57)</f>
        <v/>
      </c>
      <c r="U57" s="1" t="n"/>
      <c r="V57" s="1" t="n"/>
    </row>
    <row r="58" ht="12" customHeight="1" s="195">
      <c r="A58" s="173" t="n">
        <v>2200</v>
      </c>
      <c r="B58" s="185" t="inlineStr">
        <is>
          <t>EARTHWORK</t>
        </is>
      </c>
      <c r="C58" s="186" t="n"/>
      <c r="D58" s="127" t="n">
        <v>1</v>
      </c>
      <c r="E58" s="128" t="inlineStr">
        <is>
          <t>EA</t>
        </is>
      </c>
      <c r="F58" s="128" t="n"/>
      <c r="G58" s="129" t="n"/>
      <c r="H58" s="129" t="n"/>
      <c r="I58" s="129" t="n"/>
      <c r="J58" s="130" t="n"/>
      <c r="K58" s="130" t="n"/>
      <c r="L58" s="100" t="n"/>
      <c r="M58" s="1">
        <f>IF(N58&gt;0,ROUND(N58/$M$10,0),0)</f>
        <v/>
      </c>
      <c r="N58" s="1">
        <f>(G58*D58)</f>
        <v/>
      </c>
      <c r="O58" s="7">
        <f>(N58*$O$10)</f>
        <v/>
      </c>
      <c r="P58" s="1">
        <f>(H58*D58)</f>
        <v/>
      </c>
      <c r="Q58" s="1">
        <f>(I58*D58)</f>
        <v/>
      </c>
      <c r="R58" s="1">
        <f>(J58*D58)</f>
        <v/>
      </c>
      <c r="S58" s="7">
        <f>(K58*D58)</f>
        <v/>
      </c>
      <c r="T58" s="12">
        <f>SUM(N58:S58)</f>
        <v/>
      </c>
      <c r="U58" s="1" t="n"/>
      <c r="V58" s="1" t="n"/>
    </row>
    <row r="59" ht="12" customHeight="1" s="195">
      <c r="A59" s="173" t="n">
        <v>2900</v>
      </c>
      <c r="B59" s="185" t="inlineStr">
        <is>
          <t>LANDSCAPING</t>
        </is>
      </c>
      <c r="C59" s="186" t="n"/>
      <c r="D59" s="127" t="n">
        <v>1</v>
      </c>
      <c r="E59" s="128" t="inlineStr">
        <is>
          <t>EA</t>
        </is>
      </c>
      <c r="F59" s="128" t="n"/>
      <c r="G59" s="129" t="n"/>
      <c r="H59" s="129" t="n"/>
      <c r="I59" s="129" t="n"/>
      <c r="J59" s="130" t="n"/>
      <c r="K59" s="130" t="n"/>
      <c r="L59" s="100" t="n"/>
      <c r="M59" s="1">
        <f>IF(N59&gt;0,ROUND(N59/$M$10,0),0)</f>
        <v/>
      </c>
      <c r="N59" s="1">
        <f>(G59*D59)</f>
        <v/>
      </c>
      <c r="O59" s="7">
        <f>(N59*$O$10)</f>
        <v/>
      </c>
      <c r="P59" s="1">
        <f>(H59*D59)</f>
        <v/>
      </c>
      <c r="Q59" s="1">
        <f>(I59*D59)</f>
        <v/>
      </c>
      <c r="R59" s="1">
        <f>(J59*D59)</f>
        <v/>
      </c>
      <c r="S59" s="7">
        <f>(K59*D59)</f>
        <v/>
      </c>
      <c r="T59" s="12">
        <f>SUM(N59:S59)</f>
        <v/>
      </c>
      <c r="U59" s="1" t="n"/>
      <c r="V59" s="1" t="n"/>
    </row>
    <row r="60" ht="12" customHeight="1" s="195">
      <c r="A60" s="173" t="n">
        <v>2000</v>
      </c>
      <c r="B60" s="176" t="inlineStr">
        <is>
          <t>DEMOLITION &amp; SITEWORK</t>
        </is>
      </c>
      <c r="C60" s="185" t="n"/>
      <c r="D60" s="127" t="n">
        <v>1</v>
      </c>
      <c r="E60" s="128" t="inlineStr">
        <is>
          <t>EA</t>
        </is>
      </c>
      <c r="F60" s="128" t="n"/>
      <c r="G60" s="129" t="n"/>
      <c r="H60" s="129" t="n"/>
      <c r="I60" s="129" t="n"/>
      <c r="J60" s="130" t="n"/>
      <c r="K60" s="130" t="n"/>
      <c r="L60" s="100" t="n"/>
      <c r="M60" s="1">
        <f>IF(N60&gt;0,ROUND(N60/$M$10,0),0)</f>
        <v/>
      </c>
      <c r="N60" s="1">
        <f>(G60*D60)</f>
        <v/>
      </c>
      <c r="O60" s="7">
        <f>(N60*$O$10)</f>
        <v/>
      </c>
      <c r="P60" s="1">
        <f>(H60*D60)</f>
        <v/>
      </c>
      <c r="Q60" s="1">
        <f>(I60*D60)</f>
        <v/>
      </c>
      <c r="R60" s="1">
        <f>(J60*D60)</f>
        <v/>
      </c>
      <c r="S60" s="7">
        <f>(K60*D60)</f>
        <v/>
      </c>
      <c r="T60" s="12">
        <f>SUM(N60:S60)</f>
        <v/>
      </c>
      <c r="U60" s="1" t="n"/>
      <c r="V60" s="1" t="n"/>
    </row>
    <row r="61" ht="12" customHeight="1" s="195">
      <c r="A61" s="173" t="n">
        <v>2000</v>
      </c>
      <c r="B61" s="176" t="inlineStr">
        <is>
          <t>PT SLAB SCANNING &amp; CORING ALLOWANCE</t>
        </is>
      </c>
      <c r="C61" s="185" t="n"/>
      <c r="D61" s="127" t="n">
        <v>1</v>
      </c>
      <c r="E61" s="128" t="inlineStr">
        <is>
          <t>LS</t>
        </is>
      </c>
      <c r="F61" s="128" t="n"/>
      <c r="G61" s="129" t="n"/>
      <c r="H61" s="129" t="n"/>
      <c r="I61" s="202" t="n"/>
      <c r="J61" s="130" t="n"/>
      <c r="K61" s="130" t="n"/>
      <c r="L61" s="100" t="n"/>
      <c r="M61" s="1">
        <f>IF(N61&gt;0,ROUND(N61/$M$10,0),0)</f>
        <v/>
      </c>
      <c r="N61" s="1">
        <f>(G61*D61)</f>
        <v/>
      </c>
      <c r="O61" s="7">
        <f>(N61*$O$10)</f>
        <v/>
      </c>
      <c r="P61" s="1">
        <f>(H61*D61)</f>
        <v/>
      </c>
      <c r="Q61" s="1">
        <f>(I61*D61)</f>
        <v/>
      </c>
      <c r="R61" s="1">
        <f>(J61*D61)</f>
        <v/>
      </c>
      <c r="S61" s="7">
        <f>(K61*D61)</f>
        <v/>
      </c>
      <c r="T61" s="12">
        <f>SUM(N61:S61)</f>
        <v/>
      </c>
      <c r="U61" s="1" t="n"/>
      <c r="V61" s="1" t="n"/>
    </row>
    <row r="62" ht="12" customHeight="1" s="195">
      <c r="A62" s="173" t="n">
        <v>2000</v>
      </c>
      <c r="B62" s="176" t="inlineStr">
        <is>
          <t>DEMOLITION &amp; SITEWORK</t>
        </is>
      </c>
      <c r="C62" s="185" t="n"/>
      <c r="D62" s="127" t="n">
        <v>1</v>
      </c>
      <c r="E62" s="128" t="inlineStr">
        <is>
          <t>EA</t>
        </is>
      </c>
      <c r="F62" s="128" t="n"/>
      <c r="G62" s="129" t="n"/>
      <c r="H62" s="129" t="n"/>
      <c r="I62" s="129" t="n"/>
      <c r="J62" s="130" t="n"/>
      <c r="K62" s="130" t="n"/>
      <c r="L62" s="100" t="n"/>
      <c r="M62" s="1">
        <f>IF(N62&gt;0,ROUND(N62/$M$10,0),0)</f>
        <v/>
      </c>
      <c r="N62" s="1">
        <f>(G62*D62)</f>
        <v/>
      </c>
      <c r="O62" s="7">
        <f>(N62*$O$10)</f>
        <v/>
      </c>
      <c r="P62" s="1">
        <f>(H62*D62)</f>
        <v/>
      </c>
      <c r="Q62" s="1">
        <f>(I62*D62)</f>
        <v/>
      </c>
      <c r="R62" s="1">
        <f>(J62*D62)</f>
        <v/>
      </c>
      <c r="S62" s="7">
        <f>(K62*D62)</f>
        <v/>
      </c>
      <c r="T62" s="12">
        <f>SUM(N62:S62)</f>
        <v/>
      </c>
      <c r="U62" s="1" t="n"/>
      <c r="V62" s="1" t="n"/>
    </row>
    <row r="63" ht="12" customHeight="1" s="195">
      <c r="A63" s="173" t="n">
        <v>2000</v>
      </c>
      <c r="B63" s="176" t="inlineStr">
        <is>
          <t>DEMOLITION &amp; SITEWORK</t>
        </is>
      </c>
      <c r="C63" s="185" t="n"/>
      <c r="D63" s="127" t="n">
        <v>1</v>
      </c>
      <c r="E63" s="128" t="inlineStr">
        <is>
          <t>EA</t>
        </is>
      </c>
      <c r="F63" s="128" t="n"/>
      <c r="G63" s="129" t="n"/>
      <c r="H63" s="129" t="n"/>
      <c r="I63" s="129" t="n"/>
      <c r="J63" s="130" t="n"/>
      <c r="K63" s="130" t="n"/>
      <c r="L63" s="100" t="n"/>
      <c r="M63" s="1">
        <f>IF(N63&gt;0,ROUND(N63/$M$10,0),0)</f>
        <v/>
      </c>
      <c r="N63" s="1">
        <f>(G63*D63)</f>
        <v/>
      </c>
      <c r="O63" s="7">
        <f>(N63*$O$10)</f>
        <v/>
      </c>
      <c r="P63" s="1">
        <f>(H63*D63)</f>
        <v/>
      </c>
      <c r="Q63" s="1">
        <f>(I63*D63)</f>
        <v/>
      </c>
      <c r="R63" s="1">
        <f>(J63*D63)</f>
        <v/>
      </c>
      <c r="S63" s="7">
        <f>(K63*D63)</f>
        <v/>
      </c>
      <c r="T63" s="12">
        <f>SUM(N63:S63)</f>
        <v/>
      </c>
      <c r="U63" s="1" t="n"/>
      <c r="V63" s="1" t="n"/>
    </row>
    <row r="64" ht="12" customHeight="1" s="195">
      <c r="A64" s="173" t="n">
        <v>2000</v>
      </c>
      <c r="B64" s="176" t="inlineStr">
        <is>
          <t>DEMOLITION &amp; SITEWORK</t>
        </is>
      </c>
      <c r="C64" s="185" t="n"/>
      <c r="D64" s="127" t="n">
        <v>1</v>
      </c>
      <c r="E64" s="128" t="inlineStr">
        <is>
          <t>EA</t>
        </is>
      </c>
      <c r="F64" s="128" t="n"/>
      <c r="G64" s="129" t="n"/>
      <c r="H64" s="129" t="n"/>
      <c r="I64" s="129" t="n"/>
      <c r="J64" s="130" t="n"/>
      <c r="K64" s="130" t="n"/>
      <c r="L64" s="100" t="n"/>
      <c r="M64" s="1">
        <f>IF(N64&gt;0,ROUND(N64/$M$10,0),0)</f>
        <v/>
      </c>
      <c r="N64" s="1">
        <f>(G64*D64)</f>
        <v/>
      </c>
      <c r="O64" s="7">
        <f>(N64*$O$10)</f>
        <v/>
      </c>
      <c r="P64" s="1">
        <f>(H64*D64)</f>
        <v/>
      </c>
      <c r="Q64" s="1">
        <f>(I64*D64)</f>
        <v/>
      </c>
      <c r="R64" s="1">
        <f>(J64*D64)</f>
        <v/>
      </c>
      <c r="S64" s="7">
        <f>(K64*D64)</f>
        <v/>
      </c>
      <c r="T64" s="12">
        <f>SUM(N64:S64)</f>
        <v/>
      </c>
      <c r="U64" s="1" t="n"/>
      <c r="V64" s="1" t="n"/>
    </row>
    <row r="65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1" t="n"/>
      <c r="N65" s="1" t="n"/>
      <c r="O65" s="7" t="n"/>
      <c r="P65" s="1" t="n"/>
      <c r="Q65" s="1" t="n"/>
      <c r="R65" s="7" t="n"/>
      <c r="S65" s="7" t="n"/>
      <c r="T65" s="12" t="n"/>
      <c r="U65" s="1" t="n"/>
      <c r="V65" s="1" t="n"/>
    </row>
    <row r="66" ht="10" customHeight="1" s="195">
      <c r="A66" s="125" t="n">
        <v>2000</v>
      </c>
      <c r="B66" s="98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3">
        <f>SUM(M55:M65)</f>
        <v/>
      </c>
      <c r="N66" s="93">
        <f>SUM(N55:N65)</f>
        <v/>
      </c>
      <c r="O66" s="93">
        <f>SUM(O55:O65)</f>
        <v/>
      </c>
      <c r="P66" s="93">
        <f>SUM(P55:P65)</f>
        <v/>
      </c>
      <c r="Q66" s="93">
        <f>SUM(Q55:Q65)</f>
        <v/>
      </c>
      <c r="R66" s="93">
        <f>SUM(R55:R65)</f>
        <v/>
      </c>
      <c r="S66" s="93">
        <f>SUM(S55:S65)</f>
        <v/>
      </c>
      <c r="T66" s="93">
        <f>SUM(T55:T65)</f>
        <v/>
      </c>
      <c r="U66" s="203" t="n">
        <v>0</v>
      </c>
      <c r="V66" s="203" t="n">
        <v>0</v>
      </c>
    </row>
    <row r="67" ht="10" customHeight="1" s="195">
      <c r="A67" s="109" t="inlineStr">
        <is>
          <t> </t>
        </is>
      </c>
      <c r="B67" s="1" t="inlineStr">
        <is>
          <t> </t>
        </is>
      </c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" t="n"/>
      <c r="N67" s="1" t="n"/>
      <c r="O67" s="7" t="n"/>
      <c r="P67" s="1" t="n"/>
      <c r="Q67" s="1" t="n"/>
      <c r="R67" s="1" t="n"/>
      <c r="S67" s="7" t="n"/>
      <c r="T67" s="12" t="n"/>
      <c r="U67" s="1" t="n"/>
      <c r="V67" s="1" t="n"/>
    </row>
    <row r="68" ht="12" customHeight="1" s="195">
      <c r="A68" s="173" t="n">
        <v>3000</v>
      </c>
      <c r="B68" s="185" t="inlineStr">
        <is>
          <t xml:space="preserve">CONCRETE  </t>
        </is>
      </c>
      <c r="C68" s="186" t="n"/>
      <c r="D68" s="127" t="n">
        <v>1</v>
      </c>
      <c r="E68" s="128" t="inlineStr">
        <is>
          <t>WK</t>
        </is>
      </c>
      <c r="F68" s="128" t="n"/>
      <c r="G68" s="162" t="n"/>
      <c r="H68" s="162" t="n"/>
      <c r="I68" s="162" t="n"/>
      <c r="J68" s="168" t="n"/>
      <c r="K68" s="168" t="n"/>
      <c r="L68" s="100" t="n"/>
      <c r="M68" s="1">
        <f>IF(N68&gt;0,ROUND(N68/$M$10,0),0)</f>
        <v/>
      </c>
      <c r="N68" s="1">
        <f>(G68*D68)</f>
        <v/>
      </c>
      <c r="O68" s="7">
        <f>(N68*$O$10)</f>
        <v/>
      </c>
      <c r="P68" s="1">
        <f>(H68*D68)</f>
        <v/>
      </c>
      <c r="Q68" s="1">
        <f>(I68*D68)</f>
        <v/>
      </c>
      <c r="R68" s="1">
        <f>(J68*D68)</f>
        <v/>
      </c>
      <c r="S68" s="7">
        <f>(K68*D68)</f>
        <v/>
      </c>
      <c r="T68" s="12">
        <f>SUM(N68:S68)</f>
        <v/>
      </c>
      <c r="U68" s="1" t="n"/>
      <c r="V68" s="1" t="n"/>
    </row>
    <row r="69" ht="12" customHeight="1" s="195">
      <c r="A69" s="173" t="n">
        <v>3010</v>
      </c>
      <c r="B69" s="185" t="inlineStr">
        <is>
          <t>FOOTINGS &amp; FOUNDATION</t>
        </is>
      </c>
      <c r="C69" s="186" t="n"/>
      <c r="D69" s="127" t="n">
        <v>1</v>
      </c>
      <c r="E69" s="172" t="inlineStr">
        <is>
          <t>LS</t>
        </is>
      </c>
      <c r="F69" s="128" t="n"/>
      <c r="G69" s="162" t="n"/>
      <c r="H69" s="162" t="n"/>
      <c r="I69" s="162" t="n"/>
      <c r="J69" s="168" t="n"/>
      <c r="K69" s="168" t="n"/>
      <c r="L69" s="100" t="n"/>
      <c r="M69" s="1">
        <f>IF(N69&gt;0,ROUND(N69/$M$10,0),0)</f>
        <v/>
      </c>
      <c r="N69" s="1">
        <f>(G69*D69)</f>
        <v/>
      </c>
      <c r="O69" s="7">
        <f>(N69*$O$10)</f>
        <v/>
      </c>
      <c r="P69" s="1">
        <f>(H69*D69)</f>
        <v/>
      </c>
      <c r="Q69" s="1">
        <f>(I69*D69)</f>
        <v/>
      </c>
      <c r="R69" s="1">
        <f>(J69*D69)</f>
        <v/>
      </c>
      <c r="S69" s="7">
        <f>(K69*D69)</f>
        <v/>
      </c>
      <c r="T69" s="12">
        <f>SUM(N69:S69)</f>
        <v/>
      </c>
      <c r="U69" s="1" t="n"/>
      <c r="V69" s="1" t="n"/>
    </row>
    <row r="70" ht="12" customHeight="1" s="195">
      <c r="A70" s="173" t="n">
        <v>3300</v>
      </c>
      <c r="B70" s="185" t="inlineStr">
        <is>
          <t>SLAB ON GRADE</t>
        </is>
      </c>
      <c r="C70" s="186" t="n"/>
      <c r="D70" s="127" t="n">
        <v>1</v>
      </c>
      <c r="E70" s="128" t="inlineStr">
        <is>
          <t>SF</t>
        </is>
      </c>
      <c r="F70" s="128" t="n"/>
      <c r="G70" s="162" t="n"/>
      <c r="H70" s="162" t="n"/>
      <c r="I70" s="162" t="n"/>
      <c r="J70" s="168" t="n"/>
      <c r="K70" s="168" t="n"/>
      <c r="L70" s="100" t="n"/>
      <c r="M70" s="1">
        <f>IF(N70&gt;0,ROUND(N70/$M$10,0),0)</f>
        <v/>
      </c>
      <c r="N70" s="1">
        <f>(G70*D70)</f>
        <v/>
      </c>
      <c r="O70" s="7">
        <f>(N70*$O$10)</f>
        <v/>
      </c>
      <c r="P70" s="1">
        <f>(H70*D70)</f>
        <v/>
      </c>
      <c r="Q70" s="1">
        <f>(I70*D70)</f>
        <v/>
      </c>
      <c r="R70" s="1">
        <f>(J70*D70)</f>
        <v/>
      </c>
      <c r="S70" s="7">
        <f>(K70*D70)</f>
        <v/>
      </c>
      <c r="T70" s="12">
        <f>SUM(N70:S70)</f>
        <v/>
      </c>
      <c r="U70" s="1" t="n"/>
      <c r="V70" s="1" t="n"/>
    </row>
    <row r="71" ht="12" customHeight="1" s="195">
      <c r="A71" s="173" t="n">
        <v>3550</v>
      </c>
      <c r="B71" s="185" t="inlineStr">
        <is>
          <t>CONCRETE FINISHES</t>
        </is>
      </c>
      <c r="C71" s="186" t="n"/>
      <c r="D71" s="127" t="n">
        <v>1</v>
      </c>
      <c r="E71" s="128" t="inlineStr">
        <is>
          <t>EA</t>
        </is>
      </c>
      <c r="F71" s="128" t="n"/>
      <c r="G71" s="162" t="n"/>
      <c r="H71" s="162" t="n"/>
      <c r="I71" s="162" t="n"/>
      <c r="J71" s="168" t="n"/>
      <c r="K71" s="168" t="n"/>
      <c r="L71" s="100" t="n"/>
      <c r="M71" s="1">
        <f>IF(N71&gt;0,ROUND(N71/$M$10,0),0)</f>
        <v/>
      </c>
      <c r="N71" s="1">
        <f>(G71*D71)</f>
        <v/>
      </c>
      <c r="O71" s="7">
        <f>(N71*$O$10)</f>
        <v/>
      </c>
      <c r="P71" s="1">
        <f>(H71*D71)</f>
        <v/>
      </c>
      <c r="Q71" s="1">
        <f>(I71*D71)</f>
        <v/>
      </c>
      <c r="R71" s="1">
        <f>(J71*D71)</f>
        <v/>
      </c>
      <c r="S71" s="7">
        <f>(K71*D71)</f>
        <v/>
      </c>
      <c r="T71" s="12">
        <f>SUM(N71:S71)</f>
        <v/>
      </c>
      <c r="U71" s="1" t="n"/>
      <c r="V71" s="1" t="n"/>
    </row>
    <row r="72" ht="12" customHeight="1" s="195">
      <c r="A72" s="173" t="n">
        <v>3710</v>
      </c>
      <c r="B72" s="185" t="inlineStr">
        <is>
          <t>CONCRETE PUMPING</t>
        </is>
      </c>
      <c r="C72" s="186" t="n"/>
      <c r="D72" s="127" t="n">
        <v>1</v>
      </c>
      <c r="E72" s="172" t="inlineStr">
        <is>
          <t>LS</t>
        </is>
      </c>
      <c r="F72" s="128" t="n"/>
      <c r="G72" s="162" t="n"/>
      <c r="H72" s="162" t="n"/>
      <c r="I72" s="162" t="n"/>
      <c r="J72" s="168" t="n"/>
      <c r="K72" s="168" t="n"/>
      <c r="L72" s="100" t="n"/>
      <c r="M72" s="1">
        <f>IF(N72&gt;0,ROUND(N72/$M$10,0),0)</f>
        <v/>
      </c>
      <c r="N72" s="1">
        <f>(G72*D72)</f>
        <v/>
      </c>
      <c r="O72" s="7">
        <f>(N72*$O$10)</f>
        <v/>
      </c>
      <c r="P72" s="1">
        <f>(H72*D72)</f>
        <v/>
      </c>
      <c r="Q72" s="1">
        <f>(I72*D72)</f>
        <v/>
      </c>
      <c r="R72" s="1">
        <f>(J72*D72)</f>
        <v/>
      </c>
      <c r="S72" s="7">
        <f>(K72*D72)</f>
        <v/>
      </c>
      <c r="T72" s="12">
        <f>SUM(N72:S72)</f>
        <v/>
      </c>
      <c r="U72" s="1" t="n"/>
      <c r="V72" s="1" t="n"/>
    </row>
    <row r="73" ht="12" customHeight="1" s="195">
      <c r="A73" s="173" t="n">
        <v>3000</v>
      </c>
      <c r="B73" s="176" t="inlineStr">
        <is>
          <t>CONCRETE</t>
        </is>
      </c>
      <c r="C73" s="185" t="n"/>
      <c r="D73" s="127" t="n">
        <v>1</v>
      </c>
      <c r="E73" s="128" t="inlineStr">
        <is>
          <t>EA</t>
        </is>
      </c>
      <c r="F73" s="128" t="n"/>
      <c r="G73" s="162" t="n"/>
      <c r="H73" s="162" t="n"/>
      <c r="I73" s="162" t="n"/>
      <c r="J73" s="168" t="n"/>
      <c r="K73" s="168" t="n"/>
      <c r="L73" s="100" t="n"/>
      <c r="M73" s="1">
        <f>IF(N73&gt;0,ROUND(N73/$M$10,0),0)</f>
        <v/>
      </c>
      <c r="N73" s="1">
        <f>(G73*D73)</f>
        <v/>
      </c>
      <c r="O73" s="7">
        <f>(N73*$O$10)</f>
        <v/>
      </c>
      <c r="P73" s="1">
        <f>(H73*D73)</f>
        <v/>
      </c>
      <c r="Q73" s="1">
        <f>(I73*D73)</f>
        <v/>
      </c>
      <c r="R73" s="1">
        <f>(J73*D73)</f>
        <v/>
      </c>
      <c r="S73" s="7">
        <f>(K73*D73)</f>
        <v/>
      </c>
      <c r="T73" s="12">
        <f>SUM(N73:S73)</f>
        <v/>
      </c>
      <c r="U73" s="1" t="n"/>
      <c r="V73" s="1" t="n"/>
    </row>
    <row r="74" ht="12" customHeight="1" s="195">
      <c r="A74" s="173" t="n">
        <v>3000</v>
      </c>
      <c r="B74" s="176" t="inlineStr">
        <is>
          <t>CONCRETE</t>
        </is>
      </c>
      <c r="C74" s="185" t="n"/>
      <c r="D74" s="127" t="n">
        <v>1</v>
      </c>
      <c r="E74" s="128" t="inlineStr">
        <is>
          <t>EA</t>
        </is>
      </c>
      <c r="F74" s="128" t="n"/>
      <c r="G74" s="162" t="n"/>
      <c r="H74" s="162" t="n"/>
      <c r="I74" s="162" t="n"/>
      <c r="J74" s="168" t="n"/>
      <c r="K74" s="168" t="n"/>
      <c r="L74" s="100" t="n"/>
      <c r="M74" s="1">
        <f>IF(N74&gt;0,ROUND(N74/$M$10,0),0)</f>
        <v/>
      </c>
      <c r="N74" s="1">
        <f>(G74*D74)</f>
        <v/>
      </c>
      <c r="O74" s="7">
        <f>(N74*$O$10)</f>
        <v/>
      </c>
      <c r="P74" s="1">
        <f>(H74*D74)</f>
        <v/>
      </c>
      <c r="Q74" s="1">
        <f>(I74*D74)</f>
        <v/>
      </c>
      <c r="R74" s="1">
        <f>(J74*D74)</f>
        <v/>
      </c>
      <c r="S74" s="7">
        <f>(K74*D74)</f>
        <v/>
      </c>
      <c r="T74" s="12">
        <f>SUM(N74:S74)</f>
        <v/>
      </c>
      <c r="U74" s="1" t="n"/>
      <c r="V74" s="1" t="n"/>
    </row>
    <row r="75" ht="12" customHeight="1" s="195">
      <c r="A75" s="173" t="n">
        <v>3000</v>
      </c>
      <c r="B75" s="176" t="inlineStr">
        <is>
          <t>CONCRETE</t>
        </is>
      </c>
      <c r="C75" s="185" t="n"/>
      <c r="D75" s="127" t="n">
        <v>1</v>
      </c>
      <c r="E75" s="128" t="inlineStr">
        <is>
          <t>EA</t>
        </is>
      </c>
      <c r="F75" s="128" t="n"/>
      <c r="G75" s="162" t="n"/>
      <c r="H75" s="162" t="n"/>
      <c r="I75" s="162" t="n"/>
      <c r="J75" s="168" t="n"/>
      <c r="K75" s="168" t="n"/>
      <c r="L75" s="100" t="n"/>
      <c r="M75" s="1">
        <f>IF(N75&gt;0,ROUND(N75/$M$10,0),0)</f>
        <v/>
      </c>
      <c r="N75" s="1">
        <f>(G75*D75)</f>
        <v/>
      </c>
      <c r="O75" s="7">
        <f>(N75*$O$10)</f>
        <v/>
      </c>
      <c r="P75" s="1">
        <f>(H75*D75)</f>
        <v/>
      </c>
      <c r="Q75" s="1">
        <f>(I75*D75)</f>
        <v/>
      </c>
      <c r="R75" s="1">
        <f>(J75*D75)</f>
        <v/>
      </c>
      <c r="S75" s="7">
        <f>(K75*D75)</f>
        <v/>
      </c>
      <c r="T75" s="12">
        <f>SUM(N75:S75)</f>
        <v/>
      </c>
      <c r="U75" s="1" t="n"/>
      <c r="V75" s="1" t="n"/>
    </row>
    <row r="76" ht="12" customHeight="1" s="195">
      <c r="A76" s="173" t="n">
        <v>3000</v>
      </c>
      <c r="B76" s="176" t="inlineStr">
        <is>
          <t>CONCRETE</t>
        </is>
      </c>
      <c r="C76" s="185" t="n"/>
      <c r="D76" s="127" t="n">
        <v>1</v>
      </c>
      <c r="E76" s="128" t="inlineStr">
        <is>
          <t>EA</t>
        </is>
      </c>
      <c r="F76" s="128" t="n"/>
      <c r="G76" s="162" t="n"/>
      <c r="H76" s="162" t="n"/>
      <c r="I76" s="162" t="n"/>
      <c r="J76" s="168" t="n"/>
      <c r="K76" s="168" t="n"/>
      <c r="L76" s="100" t="n"/>
      <c r="M76" s="1">
        <f>IF(N76&gt;0,ROUND(N76/$M$10,0),0)</f>
        <v/>
      </c>
      <c r="N76" s="1">
        <f>(G76*D76)</f>
        <v/>
      </c>
      <c r="O76" s="7">
        <f>(N76*$O$10)</f>
        <v/>
      </c>
      <c r="P76" s="1">
        <f>(H76*D76)</f>
        <v/>
      </c>
      <c r="Q76" s="1">
        <f>(I76*D76)</f>
        <v/>
      </c>
      <c r="R76" s="1">
        <f>(J76*D76)</f>
        <v/>
      </c>
      <c r="S76" s="7">
        <f>(K76*D76)</f>
        <v/>
      </c>
      <c r="T76" s="12">
        <f>SUM(N76:S76)</f>
        <v/>
      </c>
      <c r="U76" s="1" t="n"/>
      <c r="V76" s="1" t="n"/>
    </row>
    <row r="77" ht="12" customHeight="1" s="195">
      <c r="A77" s="173" t="n">
        <v>3000</v>
      </c>
      <c r="B77" s="176" t="inlineStr">
        <is>
          <t>CONCRETE</t>
        </is>
      </c>
      <c r="C77" s="185" t="n"/>
      <c r="D77" s="127" t="n">
        <v>1</v>
      </c>
      <c r="E77" s="128" t="inlineStr">
        <is>
          <t>EA</t>
        </is>
      </c>
      <c r="F77" s="128" t="n"/>
      <c r="G77" s="162" t="n"/>
      <c r="H77" s="162" t="n"/>
      <c r="I77" s="162" t="n"/>
      <c r="J77" s="168" t="n"/>
      <c r="K77" s="168" t="n"/>
      <c r="L77" s="100" t="n"/>
      <c r="M77" s="1">
        <f>IF(N77&gt;0,ROUND(N77/$M$10,0),0)</f>
        <v/>
      </c>
      <c r="N77" s="1">
        <f>(G77*D77)</f>
        <v/>
      </c>
      <c r="O77" s="7">
        <f>(N77*$O$10)</f>
        <v/>
      </c>
      <c r="P77" s="1">
        <f>(H77*D77)</f>
        <v/>
      </c>
      <c r="Q77" s="1">
        <f>(I77*D77)</f>
        <v/>
      </c>
      <c r="R77" s="1">
        <f>(J77*D77)</f>
        <v/>
      </c>
      <c r="S77" s="7">
        <f>(K77*D77)</f>
        <v/>
      </c>
      <c r="T77" s="12">
        <f>SUM(N77:S77)</f>
        <v/>
      </c>
      <c r="U77" s="1" t="n"/>
      <c r="V77" s="1" t="n"/>
    </row>
    <row r="78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1" t="n"/>
      <c r="N78" s="1" t="n"/>
      <c r="O78" s="7" t="n"/>
      <c r="P78" s="1" t="n"/>
      <c r="Q78" s="1" t="n"/>
      <c r="R78" s="7" t="n"/>
      <c r="S78" s="7" t="n"/>
      <c r="T78" s="12" t="n"/>
      <c r="U78" s="1" t="n"/>
      <c r="V78" s="1" t="n"/>
    </row>
    <row r="79" ht="10" customHeight="1" s="195">
      <c r="A79" s="125" t="n">
        <v>3000</v>
      </c>
      <c r="B79" s="98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206" t="n">
        <v>112000</v>
      </c>
      <c r="J79" s="94" t="n"/>
      <c r="K79" s="94" t="n"/>
      <c r="L79" s="94" t="n"/>
      <c r="M79" s="93">
        <f>SUM(M67:M78)</f>
        <v/>
      </c>
      <c r="N79" s="93">
        <f>SUM(N67:N78)</f>
        <v/>
      </c>
      <c r="O79" s="93">
        <f>SUM(O67:O78)</f>
        <v/>
      </c>
      <c r="P79" s="93">
        <f>SUM(P67:P78)</f>
        <v/>
      </c>
      <c r="Q79" s="93">
        <f>SUM(Q67:Q78)</f>
        <v/>
      </c>
      <c r="R79" s="93">
        <f>SUM(R67:R78)</f>
        <v/>
      </c>
      <c r="S79" s="93">
        <f>SUM(S67:S78)</f>
        <v/>
      </c>
      <c r="T79" s="93">
        <f>SUM(T67:T78)</f>
        <v/>
      </c>
      <c r="U79" s="203" t="n">
        <v>0</v>
      </c>
      <c r="V79" s="203" t="n">
        <v>0</v>
      </c>
    </row>
    <row r="80" ht="10" customHeight="1" s="195">
      <c r="A80" s="109" t="inlineStr">
        <is>
          <t> </t>
        </is>
      </c>
      <c r="B80" s="1" t="inlineStr">
        <is>
          <t> </t>
        </is>
      </c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" t="n"/>
      <c r="N80" s="1" t="n"/>
      <c r="O80" s="7" t="n"/>
      <c r="P80" s="1" t="n"/>
      <c r="Q80" s="1" t="n"/>
      <c r="R80" s="1" t="n"/>
      <c r="S80" s="7" t="n"/>
      <c r="T80" s="12" t="n"/>
      <c r="U80" s="1" t="n"/>
      <c r="V80" s="1" t="n"/>
    </row>
    <row r="81" ht="12" customHeight="1" s="195">
      <c r="A81" s="173" t="n">
        <v>5100</v>
      </c>
      <c r="B81" s="185" t="inlineStr">
        <is>
          <t>STRUCTURAL STEEL</t>
        </is>
      </c>
      <c r="C81" s="186" t="n"/>
      <c r="D81" s="127" t="n">
        <v>1</v>
      </c>
      <c r="E81" s="169" t="inlineStr">
        <is>
          <t>LS</t>
        </is>
      </c>
      <c r="F81" s="128" t="n"/>
      <c r="G81" s="129" t="n"/>
      <c r="H81" s="162" t="n"/>
      <c r="I81" s="207" t="n">
        <v>62000</v>
      </c>
      <c r="J81" s="168" t="n"/>
      <c r="K81" s="130" t="n"/>
      <c r="L81" s="100" t="n"/>
      <c r="M81" s="1">
        <f>IF(N81&gt;0,ROUND(N81/$M$10,0),0)</f>
        <v/>
      </c>
      <c r="N81" s="1">
        <f>(G81*D81)</f>
        <v/>
      </c>
      <c r="O81" s="7">
        <f>(N81*$O$10)</f>
        <v/>
      </c>
      <c r="P81" s="1">
        <f>(H81*D81)</f>
        <v/>
      </c>
      <c r="Q81" s="1">
        <f>(I81*D81)</f>
        <v/>
      </c>
      <c r="R81" s="1">
        <f>(J81*D81)</f>
        <v/>
      </c>
      <c r="S81" s="7">
        <f>(K81*D81)</f>
        <v/>
      </c>
      <c r="T81" s="12">
        <f>SUM(N81:S81)</f>
        <v/>
      </c>
      <c r="U81" s="1" t="n"/>
      <c r="V81" s="1" t="n"/>
    </row>
    <row r="82" ht="12" customHeight="1" s="195">
      <c r="A82" s="173" t="n">
        <v>5500</v>
      </c>
      <c r="B82" s="185" t="inlineStr">
        <is>
          <t>METAL FABRICATIONS</t>
        </is>
      </c>
      <c r="C82" s="186" t="n"/>
      <c r="D82" s="127" t="n">
        <v>1</v>
      </c>
      <c r="E82" s="169" t="inlineStr">
        <is>
          <t>LS</t>
        </is>
      </c>
      <c r="F82" s="128" t="n"/>
      <c r="G82" s="129" t="n"/>
      <c r="H82" s="162" t="n"/>
      <c r="I82" s="207" t="n">
        <v>50000</v>
      </c>
      <c r="J82" s="168" t="n"/>
      <c r="K82" s="130" t="n"/>
      <c r="L82" s="100" t="n"/>
      <c r="M82" s="1">
        <f>IF(N82&gt;0,ROUND(N82/$M$10,0),0)</f>
        <v/>
      </c>
      <c r="N82" s="1">
        <f>(G82*D82)</f>
        <v/>
      </c>
      <c r="O82" s="7">
        <f>(N82*$O$10)</f>
        <v/>
      </c>
      <c r="P82" s="1">
        <f>(H82*D82)</f>
        <v/>
      </c>
      <c r="Q82" s="1">
        <f>(I82*D82)</f>
        <v/>
      </c>
      <c r="R82" s="1">
        <f>(J82*D82)</f>
        <v/>
      </c>
      <c r="S82" s="7">
        <f>(K82*D82)</f>
        <v/>
      </c>
      <c r="T82" s="12">
        <f>SUM(N82:S82)</f>
        <v/>
      </c>
      <c r="U82" s="1" t="n"/>
      <c r="V82" s="1" t="n"/>
    </row>
    <row r="83" ht="12" customHeight="1" s="195">
      <c r="A83" s="173" t="n">
        <v>5000</v>
      </c>
      <c r="B83" s="176" t="inlineStr">
        <is>
          <t>METALS</t>
        </is>
      </c>
      <c r="C83" s="185" t="n"/>
      <c r="D83" s="127" t="n">
        <v>1</v>
      </c>
      <c r="E83" s="169" t="inlineStr">
        <is>
          <t>LS</t>
        </is>
      </c>
      <c r="F83" s="128" t="n"/>
      <c r="G83" s="129" t="n"/>
      <c r="H83" s="162" t="n"/>
      <c r="I83" s="162" t="n"/>
      <c r="J83" s="168" t="n"/>
      <c r="K83" s="130" t="n"/>
      <c r="L83" s="100" t="n"/>
      <c r="M83" s="1">
        <f>IF(N83&gt;0,ROUND(N83/$M$10,0),0)</f>
        <v/>
      </c>
      <c r="N83" s="1">
        <f>(G83*D83)</f>
        <v/>
      </c>
      <c r="O83" s="7">
        <f>(N83*$O$10)</f>
        <v/>
      </c>
      <c r="P83" s="1">
        <f>(H83*D83)</f>
        <v/>
      </c>
      <c r="Q83" s="1">
        <f>(I83*D83)</f>
        <v/>
      </c>
      <c r="R83" s="1">
        <f>(J83*D83)</f>
        <v/>
      </c>
      <c r="S83" s="7">
        <f>(K83*D83)</f>
        <v/>
      </c>
      <c r="T83" s="12">
        <f>SUM(N83:S83)</f>
        <v/>
      </c>
      <c r="U83" s="1" t="n"/>
      <c r="V83" s="1" t="n"/>
    </row>
    <row r="84" ht="12" customHeight="1" s="195">
      <c r="A84" s="173" t="n">
        <v>5000</v>
      </c>
      <c r="B84" s="176" t="inlineStr">
        <is>
          <t>METALS</t>
        </is>
      </c>
      <c r="C84" s="185" t="n"/>
      <c r="D84" s="127" t="n">
        <v>1</v>
      </c>
      <c r="E84" s="169" t="inlineStr">
        <is>
          <t>LS</t>
        </is>
      </c>
      <c r="F84" s="128" t="n"/>
      <c r="G84" s="129" t="n"/>
      <c r="H84" s="162" t="n"/>
      <c r="I84" s="162" t="n"/>
      <c r="J84" s="168" t="n"/>
      <c r="K84" s="130" t="n"/>
      <c r="L84" s="100" t="n"/>
      <c r="M84" s="1">
        <f>IF(N84&gt;0,ROUND(N84/$M$10,0),0)</f>
        <v/>
      </c>
      <c r="N84" s="1">
        <f>(G84*D84)</f>
        <v/>
      </c>
      <c r="O84" s="7">
        <f>(N84*$O$10)</f>
        <v/>
      </c>
      <c r="P84" s="1">
        <f>(H84*D84)</f>
        <v/>
      </c>
      <c r="Q84" s="1">
        <f>(I84*D84)</f>
        <v/>
      </c>
      <c r="R84" s="1">
        <f>(J84*D84)</f>
        <v/>
      </c>
      <c r="S84" s="7">
        <f>(K84*D84)</f>
        <v/>
      </c>
      <c r="T84" s="12">
        <f>SUM(N84:S84)</f>
        <v/>
      </c>
      <c r="U84" s="1" t="n"/>
      <c r="V84" s="1" t="n"/>
    </row>
    <row r="85" ht="12" customHeight="1" s="195">
      <c r="A85" s="173" t="n">
        <v>5000</v>
      </c>
      <c r="B85" s="176" t="inlineStr">
        <is>
          <t>METALS</t>
        </is>
      </c>
      <c r="C85" s="185" t="n"/>
      <c r="D85" s="127" t="n">
        <v>1</v>
      </c>
      <c r="E85" s="169" t="inlineStr">
        <is>
          <t>LS</t>
        </is>
      </c>
      <c r="F85" s="128" t="n"/>
      <c r="G85" s="129" t="n"/>
      <c r="H85" s="162" t="n"/>
      <c r="I85" s="162" t="n"/>
      <c r="J85" s="168" t="n"/>
      <c r="K85" s="130" t="n"/>
      <c r="L85" s="100" t="n"/>
      <c r="M85" s="1">
        <f>IF(N85&gt;0,ROUND(N85/$M$10,0),0)</f>
        <v/>
      </c>
      <c r="N85" s="1">
        <f>(G85*D85)</f>
        <v/>
      </c>
      <c r="O85" s="7">
        <f>(N85*$O$10)</f>
        <v/>
      </c>
      <c r="P85" s="1">
        <f>(H85*D85)</f>
        <v/>
      </c>
      <c r="Q85" s="1">
        <f>(I85*D85)</f>
        <v/>
      </c>
      <c r="R85" s="1">
        <f>(J85*D85)</f>
        <v/>
      </c>
      <c r="S85" s="7">
        <f>(K85*D85)</f>
        <v/>
      </c>
      <c r="T85" s="12">
        <f>SUM(N85:S85)</f>
        <v/>
      </c>
      <c r="U85" s="1" t="n"/>
      <c r="V85" s="1" t="n"/>
    </row>
    <row r="86" ht="12" customHeight="1" s="195">
      <c r="A86" s="173" t="n">
        <v>5000</v>
      </c>
      <c r="B86" s="176" t="inlineStr">
        <is>
          <t>METALS</t>
        </is>
      </c>
      <c r="C86" s="185" t="n"/>
      <c r="D86" s="127" t="n">
        <v>1</v>
      </c>
      <c r="E86" s="169" t="inlineStr">
        <is>
          <t>LS</t>
        </is>
      </c>
      <c r="F86" s="128" t="n"/>
      <c r="G86" s="129" t="n"/>
      <c r="H86" s="162" t="n"/>
      <c r="I86" s="162" t="n"/>
      <c r="J86" s="168" t="n"/>
      <c r="K86" s="130" t="n"/>
      <c r="L86" s="100" t="n"/>
      <c r="M86" s="1">
        <f>IF(N86&gt;0,ROUND(N86/$M$10,0),0)</f>
        <v/>
      </c>
      <c r="N86" s="1">
        <f>(G86*D86)</f>
        <v/>
      </c>
      <c r="O86" s="7">
        <f>(N86*$O$10)</f>
        <v/>
      </c>
      <c r="P86" s="1">
        <f>(H86*D86)</f>
        <v/>
      </c>
      <c r="Q86" s="1">
        <f>(I86*D86)</f>
        <v/>
      </c>
      <c r="R86" s="1">
        <f>(J86*D86)</f>
        <v/>
      </c>
      <c r="S86" s="7">
        <f>(K86*D86)</f>
        <v/>
      </c>
      <c r="T86" s="12">
        <f>SUM(N86:S86)</f>
        <v/>
      </c>
      <c r="U86" s="1" t="n"/>
      <c r="V86" s="1" t="n"/>
    </row>
    <row r="87" ht="12" customHeight="1" s="195">
      <c r="A87" s="173" t="n">
        <v>5000</v>
      </c>
      <c r="B87" s="176" t="inlineStr">
        <is>
          <t>METALS</t>
        </is>
      </c>
      <c r="C87" s="185" t="n"/>
      <c r="D87" s="127" t="n">
        <v>1</v>
      </c>
      <c r="E87" s="169" t="inlineStr">
        <is>
          <t>LS</t>
        </is>
      </c>
      <c r="F87" s="128" t="n"/>
      <c r="G87" s="129" t="n"/>
      <c r="H87" s="162" t="n"/>
      <c r="I87" s="162" t="n"/>
      <c r="J87" s="168" t="n"/>
      <c r="K87" s="130" t="n"/>
      <c r="L87" s="100" t="n"/>
      <c r="M87" s="1">
        <f>IF(N87&gt;0,ROUND(N87/$M$10,0),0)</f>
        <v/>
      </c>
      <c r="N87" s="1">
        <f>(G87*D87)</f>
        <v/>
      </c>
      <c r="O87" s="7">
        <f>(N87*$O$10)</f>
        <v/>
      </c>
      <c r="P87" s="1">
        <f>(H87*D87)</f>
        <v/>
      </c>
      <c r="Q87" s="1">
        <f>(I87*D87)</f>
        <v/>
      </c>
      <c r="R87" s="1">
        <f>(J87*D87)</f>
        <v/>
      </c>
      <c r="S87" s="7">
        <f>(K87*D87)</f>
        <v/>
      </c>
      <c r="T87" s="12">
        <f>SUM(N87:S87)</f>
        <v/>
      </c>
      <c r="U87" s="1" t="n"/>
      <c r="V87" s="1" t="n"/>
    </row>
    <row r="88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1" t="n"/>
      <c r="N88" s="1" t="n"/>
      <c r="O88" s="7" t="n"/>
      <c r="P88" s="1" t="n"/>
      <c r="Q88" s="1" t="n"/>
      <c r="R88" s="7" t="n"/>
      <c r="S88" s="7" t="n"/>
      <c r="T88" s="12" t="n"/>
      <c r="U88" s="1" t="n"/>
      <c r="V88" s="1" t="n"/>
    </row>
    <row r="89" ht="10" customHeight="1" s="195">
      <c r="A89" s="125" t="n">
        <v>5000</v>
      </c>
      <c r="B89" s="98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3">
        <f>SUM(M80:M88)</f>
        <v/>
      </c>
      <c r="N89" s="93">
        <f>SUM(N80:N88)</f>
        <v/>
      </c>
      <c r="O89" s="93">
        <f>SUM(O80:O88)</f>
        <v/>
      </c>
      <c r="P89" s="93">
        <f>SUM(P80:P88)</f>
        <v/>
      </c>
      <c r="Q89" s="93">
        <f>SUM(Q80:Q88)</f>
        <v/>
      </c>
      <c r="R89" s="93">
        <f>SUM(R80:R88)</f>
        <v/>
      </c>
      <c r="S89" s="93">
        <f>SUM(S80:S88)</f>
        <v/>
      </c>
      <c r="T89" s="93">
        <f>SUM(T80:T88)</f>
        <v/>
      </c>
      <c r="U89" s="203" t="n">
        <v>0</v>
      </c>
      <c r="V89" s="203" t="n">
        <v>0</v>
      </c>
    </row>
    <row r="90" ht="10" customHeight="1" s="195">
      <c r="A90" s="109" t="inlineStr">
        <is>
          <t> </t>
        </is>
      </c>
      <c r="B90" s="1" t="inlineStr">
        <is>
          <t> </t>
        </is>
      </c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" t="n"/>
      <c r="N90" s="1" t="n"/>
      <c r="O90" s="7" t="n"/>
      <c r="P90" s="1" t="n"/>
      <c r="Q90" s="1" t="n"/>
      <c r="R90" s="1" t="n"/>
      <c r="S90" s="7" t="n"/>
      <c r="T90" s="12" t="n"/>
      <c r="U90" s="1" t="n"/>
      <c r="V90" s="1" t="n"/>
    </row>
    <row r="91" ht="12" customHeight="1" s="195">
      <c r="A91" s="126" t="n">
        <v>6100</v>
      </c>
      <c r="B91" s="185" t="inlineStr">
        <is>
          <t>WOOD FEATURE WALL ALLOWANCE</t>
        </is>
      </c>
      <c r="C91" s="186" t="n"/>
      <c r="D91" s="127" t="n">
        <v>1</v>
      </c>
      <c r="E91" s="128" t="inlineStr">
        <is>
          <t>LS</t>
        </is>
      </c>
      <c r="F91" s="128" t="n"/>
      <c r="G91" s="129" t="n"/>
      <c r="H91" s="129" t="n"/>
      <c r="I91" s="129" t="n"/>
      <c r="J91" s="130" t="n"/>
      <c r="K91" s="130" t="n"/>
      <c r="L91" s="100" t="n"/>
      <c r="M91" s="1">
        <f>IF(N91&gt;0,ROUND(N91/$M$10,0),0)</f>
        <v/>
      </c>
      <c r="N91" s="1">
        <f>(G91*D91)</f>
        <v/>
      </c>
      <c r="O91" s="7">
        <f>(N91*$O$10)</f>
        <v/>
      </c>
      <c r="P91" s="1">
        <f>(H91*D91)</f>
        <v/>
      </c>
      <c r="Q91" s="1">
        <f>(I91*D91)</f>
        <v/>
      </c>
      <c r="R91" s="1">
        <f>(J91*D91)</f>
        <v/>
      </c>
      <c r="S91" s="7">
        <f>(K91*D91)</f>
        <v/>
      </c>
      <c r="T91" s="12">
        <f>SUM(N91:S91)</f>
        <v/>
      </c>
      <c r="U91" s="1" t="n"/>
      <c r="V91" s="1" t="n"/>
    </row>
    <row r="92" ht="12" customHeight="1" s="195">
      <c r="A92" s="126" t="n">
        <v>6200</v>
      </c>
      <c r="B92" s="185" t="inlineStr">
        <is>
          <t xml:space="preserve">FINISH CARPENTRY  </t>
        </is>
      </c>
      <c r="C92" s="186" t="n"/>
      <c r="D92" s="127" t="n">
        <v>1</v>
      </c>
      <c r="E92" s="128" t="inlineStr">
        <is>
          <t>LS</t>
        </is>
      </c>
      <c r="F92" s="128" t="n"/>
      <c r="G92" s="129" t="n"/>
      <c r="H92" s="129" t="n"/>
      <c r="I92" s="205" t="n">
        <v>150000</v>
      </c>
      <c r="J92" s="130" t="n"/>
      <c r="K92" s="130" t="n"/>
      <c r="L92" s="100" t="n"/>
      <c r="M92" s="1">
        <f>IF(N92&gt;0,ROUND(N92/$M$10,0),0)</f>
        <v/>
      </c>
      <c r="N92" s="1">
        <f>(G92*D92)</f>
        <v/>
      </c>
      <c r="O92" s="7">
        <f>(N92*$O$10)</f>
        <v/>
      </c>
      <c r="P92" s="1">
        <f>(H92*D92)</f>
        <v/>
      </c>
      <c r="Q92" s="1">
        <f>(I92*D92)</f>
        <v/>
      </c>
      <c r="R92" s="1">
        <f>(J92*D92)</f>
        <v/>
      </c>
      <c r="S92" s="7">
        <f>(K92*D92)</f>
        <v/>
      </c>
      <c r="T92" s="12">
        <f>SUM(N92:S92)</f>
        <v/>
      </c>
      <c r="U92" s="1" t="n"/>
      <c r="V92" s="1" t="n"/>
    </row>
    <row r="93" ht="12" customHeight="1" s="195">
      <c r="A93" s="126" t="n">
        <v>6300</v>
      </c>
      <c r="B93" s="185" t="inlineStr">
        <is>
          <t>MILLWORK &amp; TRIM</t>
        </is>
      </c>
      <c r="C93" s="186" t="n"/>
      <c r="D93" s="127" t="n">
        <v>1</v>
      </c>
      <c r="E93" s="128" t="inlineStr">
        <is>
          <t>LS</t>
        </is>
      </c>
      <c r="F93" s="128" t="n"/>
      <c r="G93" s="129" t="n"/>
      <c r="H93" s="129" t="n"/>
      <c r="I93" s="205" t="n">
        <v>188000</v>
      </c>
      <c r="J93" s="130" t="n"/>
      <c r="K93" s="130" t="n"/>
      <c r="L93" s="100" t="n"/>
      <c r="M93" s="1">
        <f>IF(N93&gt;0,ROUND(N93/$M$10,0),0)</f>
        <v/>
      </c>
      <c r="N93" s="1">
        <f>(G93*D93)</f>
        <v/>
      </c>
      <c r="O93" s="7">
        <f>(N93*$O$10)</f>
        <v/>
      </c>
      <c r="P93" s="1">
        <f>(H93*D93)</f>
        <v/>
      </c>
      <c r="Q93" s="1">
        <f>(I93*D93)</f>
        <v/>
      </c>
      <c r="R93" s="1">
        <f>(J93*D93)</f>
        <v/>
      </c>
      <c r="S93" s="7">
        <f>(K93*D93)</f>
        <v/>
      </c>
      <c r="T93" s="12">
        <f>SUM(N93:S93)</f>
        <v/>
      </c>
      <c r="U93" s="1" t="n"/>
      <c r="V93" s="1" t="n"/>
    </row>
    <row r="94" ht="12" customHeight="1" s="195">
      <c r="A94" s="126" t="n">
        <v>6400</v>
      </c>
      <c r="B94" s="185" t="inlineStr">
        <is>
          <t>CASEWORK - MARBLE TOPS</t>
        </is>
      </c>
      <c r="C94" s="186" t="n"/>
      <c r="D94" s="127" t="n">
        <v>1</v>
      </c>
      <c r="E94" s="172" t="inlineStr">
        <is>
          <t>SUB</t>
        </is>
      </c>
      <c r="F94" s="128" t="n"/>
      <c r="G94" s="129" t="n"/>
      <c r="H94" s="129" t="n"/>
      <c r="I94" s="205" t="n">
        <v>200000</v>
      </c>
      <c r="J94" s="130" t="n"/>
      <c r="K94" s="130" t="n"/>
      <c r="L94" s="100" t="n"/>
      <c r="M94" s="1">
        <f>IF(N94&gt;0,ROUND(N94/$M$10,0),0)</f>
        <v/>
      </c>
      <c r="N94" s="1">
        <f>(G94*D94)</f>
        <v/>
      </c>
      <c r="O94" s="7">
        <f>(N94*$O$10)</f>
        <v/>
      </c>
      <c r="P94" s="1">
        <f>(H94*D94)</f>
        <v/>
      </c>
      <c r="Q94" s="1">
        <f>(I94*D94)</f>
        <v/>
      </c>
      <c r="R94" s="1">
        <f>(J94*D94)</f>
        <v/>
      </c>
      <c r="S94" s="7">
        <f>(K94*D94)</f>
        <v/>
      </c>
      <c r="T94" s="12">
        <f>SUM(N94:S94)</f>
        <v/>
      </c>
      <c r="U94" s="1" t="n"/>
      <c r="V94" s="1" t="n"/>
    </row>
    <row r="95" ht="12" customHeight="1" s="195">
      <c r="A95" s="126" t="n">
        <v>6100</v>
      </c>
      <c r="B95" s="176" t="inlineStr">
        <is>
          <t>ROUGH CARPENTRY / BACKING ALLOWANCE</t>
        </is>
      </c>
      <c r="C95" s="185" t="n"/>
      <c r="D95" s="127" t="n">
        <v>1</v>
      </c>
      <c r="E95" s="128" t="inlineStr">
        <is>
          <t>LS</t>
        </is>
      </c>
      <c r="F95" s="128" t="n"/>
      <c r="G95" s="202" t="n"/>
      <c r="H95" s="202" t="n"/>
      <c r="I95" s="129" t="n"/>
      <c r="J95" s="130" t="n"/>
      <c r="K95" s="130" t="n"/>
      <c r="L95" s="100" t="n"/>
      <c r="M95" s="1">
        <f>IF(N95&gt;0,ROUND(N95/$M$10,0),0)</f>
        <v/>
      </c>
      <c r="N95" s="1">
        <f>(G95*D95)</f>
        <v/>
      </c>
      <c r="O95" s="7">
        <f>(N95*$O$10)</f>
        <v/>
      </c>
      <c r="P95" s="1">
        <f>(H95*D95)</f>
        <v/>
      </c>
      <c r="Q95" s="1">
        <f>(I95*D95)</f>
        <v/>
      </c>
      <c r="R95" s="1">
        <f>(J95*D95)</f>
        <v/>
      </c>
      <c r="S95" s="7">
        <f>(K95*D95)</f>
        <v/>
      </c>
      <c r="T95" s="12">
        <f>SUM(N95:S95)</f>
        <v/>
      </c>
      <c r="U95" s="1" t="n"/>
      <c r="V95" s="1" t="n"/>
    </row>
    <row r="96" ht="12" customHeight="1" s="195">
      <c r="A96" s="126" t="n">
        <v>6100</v>
      </c>
      <c r="B96" s="187" t="inlineStr">
        <is>
          <t>WOOD BEAMS ALLOWANCE</t>
        </is>
      </c>
      <c r="C96" s="185" t="n"/>
      <c r="D96" s="127" t="n">
        <v>1</v>
      </c>
      <c r="E96" s="128" t="inlineStr">
        <is>
          <t>LS</t>
        </is>
      </c>
      <c r="F96" s="128" t="n"/>
      <c r="G96" s="129" t="n"/>
      <c r="H96" s="129" t="n"/>
      <c r="I96" s="202" t="n"/>
      <c r="J96" s="130" t="n"/>
      <c r="K96" s="130" t="n"/>
      <c r="L96" s="100" t="n"/>
      <c r="M96" s="1">
        <f>IF(N96&gt;0,ROUND(N96/$M$10,0),0)</f>
        <v/>
      </c>
      <c r="N96" s="1">
        <f>(G96*D96)</f>
        <v/>
      </c>
      <c r="O96" s="7">
        <f>(N96*$O$10)</f>
        <v/>
      </c>
      <c r="P96" s="1">
        <f>(H96*D96)</f>
        <v/>
      </c>
      <c r="Q96" s="1">
        <f>(I96*D96)</f>
        <v/>
      </c>
      <c r="R96" s="1">
        <f>(J96*D96)</f>
        <v/>
      </c>
      <c r="S96" s="7">
        <f>(K96*D96)</f>
        <v/>
      </c>
      <c r="T96" s="12">
        <f>SUM(N96:S96)</f>
        <v/>
      </c>
      <c r="U96" s="1" t="n"/>
      <c r="V96" s="1" t="n"/>
    </row>
    <row r="97" ht="12" customHeight="1" s="195">
      <c r="A97" s="126" t="n">
        <v>6100</v>
      </c>
      <c r="B97" s="176" t="inlineStr">
        <is>
          <t>ROUGH CARPENTRY</t>
        </is>
      </c>
      <c r="C97" s="185" t="n"/>
      <c r="D97" s="127" t="n">
        <v>1</v>
      </c>
      <c r="E97" s="128" t="inlineStr">
        <is>
          <t>LS</t>
        </is>
      </c>
      <c r="F97" s="128" t="n"/>
      <c r="G97" s="129" t="n"/>
      <c r="H97" s="129" t="n"/>
      <c r="I97" s="129" t="n"/>
      <c r="J97" s="130" t="n"/>
      <c r="K97" s="130" t="n"/>
      <c r="L97" s="100" t="n"/>
      <c r="M97" s="1">
        <f>IF(N97&gt;0,ROUND(N97/$M$10,0),0)</f>
        <v/>
      </c>
      <c r="N97" s="1">
        <f>(G97*D97)</f>
        <v/>
      </c>
      <c r="O97" s="7">
        <f>(N97*$O$10)</f>
        <v/>
      </c>
      <c r="P97" s="1">
        <f>(H97*D97)</f>
        <v/>
      </c>
      <c r="Q97" s="1">
        <f>(I97*D97)</f>
        <v/>
      </c>
      <c r="R97" s="1">
        <f>(J97*D97)</f>
        <v/>
      </c>
      <c r="S97" s="7">
        <f>(K97*D97)</f>
        <v/>
      </c>
      <c r="T97" s="12">
        <f>SUM(N97:S97)</f>
        <v/>
      </c>
      <c r="U97" s="1" t="n"/>
      <c r="V97" s="1" t="n"/>
    </row>
    <row r="98" ht="12" customHeight="1" s="195">
      <c r="A98" s="126" t="n">
        <v>6100</v>
      </c>
      <c r="B98" s="176" t="inlineStr">
        <is>
          <t>ROUGH CARPENTRY</t>
        </is>
      </c>
      <c r="C98" s="185" t="n"/>
      <c r="D98" s="127" t="n">
        <v>1</v>
      </c>
      <c r="E98" s="128" t="inlineStr">
        <is>
          <t>LS</t>
        </is>
      </c>
      <c r="F98" s="128" t="n"/>
      <c r="G98" s="129" t="n"/>
      <c r="H98" s="129" t="n"/>
      <c r="I98" s="129" t="n"/>
      <c r="J98" s="130" t="n"/>
      <c r="K98" s="130" t="n"/>
      <c r="L98" s="100" t="n"/>
      <c r="M98" s="1">
        <f>IF(N98&gt;0,ROUND(N98/$M$10,0),0)</f>
        <v/>
      </c>
      <c r="N98" s="1">
        <f>(G98*D98)</f>
        <v/>
      </c>
      <c r="O98" s="7">
        <f>(N98*$O$10)</f>
        <v/>
      </c>
      <c r="P98" s="1">
        <f>(H98*D98)</f>
        <v/>
      </c>
      <c r="Q98" s="1">
        <f>(I98*D98)</f>
        <v/>
      </c>
      <c r="R98" s="1">
        <f>(J98*D98)</f>
        <v/>
      </c>
      <c r="S98" s="7">
        <f>(K98*D98)</f>
        <v/>
      </c>
      <c r="T98" s="12">
        <f>SUM(N98:S98)</f>
        <v/>
      </c>
      <c r="U98" s="1" t="n"/>
      <c r="V98" s="1" t="n"/>
    </row>
    <row r="99" ht="12" customHeight="1" s="195">
      <c r="A99" s="126" t="n">
        <v>6100</v>
      </c>
      <c r="B99" s="176" t="inlineStr">
        <is>
          <t>ROUGH CARPENTRY</t>
        </is>
      </c>
      <c r="C99" s="185" t="n"/>
      <c r="D99" s="127" t="n">
        <v>1</v>
      </c>
      <c r="E99" s="128" t="inlineStr">
        <is>
          <t>LS</t>
        </is>
      </c>
      <c r="F99" s="128" t="n"/>
      <c r="G99" s="129" t="n"/>
      <c r="H99" s="129" t="n"/>
      <c r="I99" s="129" t="n"/>
      <c r="J99" s="130" t="n"/>
      <c r="K99" s="130" t="n"/>
      <c r="L99" s="100" t="n"/>
      <c r="M99" s="1">
        <f>IF(N99&gt;0,ROUND(N99/$M$10,0),0)</f>
        <v/>
      </c>
      <c r="N99" s="1">
        <f>(G99*D99)</f>
        <v/>
      </c>
      <c r="O99" s="7">
        <f>(N99*$O$10)</f>
        <v/>
      </c>
      <c r="P99" s="1">
        <f>(H99*D99)</f>
        <v/>
      </c>
      <c r="Q99" s="1">
        <f>(I99*D99)</f>
        <v/>
      </c>
      <c r="R99" s="1">
        <f>(J99*D99)</f>
        <v/>
      </c>
      <c r="S99" s="7">
        <f>(K99*D99)</f>
        <v/>
      </c>
      <c r="T99" s="12">
        <f>SUM(N99:S99)</f>
        <v/>
      </c>
      <c r="U99" s="1" t="n"/>
      <c r="V99" s="1" t="n"/>
    </row>
    <row r="100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1" t="n"/>
      <c r="N100" s="1" t="n"/>
      <c r="O100" s="7" t="n"/>
      <c r="P100" s="1" t="n"/>
      <c r="Q100" s="1" t="n"/>
      <c r="R100" s="7" t="n"/>
      <c r="S100" s="7" t="n"/>
      <c r="T100" s="12" t="n"/>
      <c r="U100" s="1" t="n"/>
      <c r="V100" s="1" t="n"/>
    </row>
    <row r="101" ht="10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3">
        <f>SUM(M90:M100)</f>
        <v/>
      </c>
      <c r="N101" s="93">
        <f>SUM(N90:N100)</f>
        <v/>
      </c>
      <c r="O101" s="93">
        <f>SUM(O90:O100)</f>
        <v/>
      </c>
      <c r="P101" s="93">
        <f>SUM(P90:P100)</f>
        <v/>
      </c>
      <c r="Q101" s="93">
        <f>SUM(Q90:Q100)</f>
        <v/>
      </c>
      <c r="R101" s="93">
        <f>SUM(R90:R100)</f>
        <v/>
      </c>
      <c r="S101" s="93">
        <f>SUM(S90:S100)</f>
        <v/>
      </c>
      <c r="T101" s="93">
        <f>SUM(T90:T100)</f>
        <v/>
      </c>
      <c r="U101" s="203" t="n">
        <v>0</v>
      </c>
      <c r="V101" s="203" t="n">
        <v>5827.5</v>
      </c>
    </row>
    <row r="102" ht="10" customHeight="1" s="195">
      <c r="A102" s="109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" t="n"/>
      <c r="N102" s="1" t="n"/>
      <c r="O102" s="7" t="n"/>
      <c r="P102" s="1" t="n"/>
      <c r="Q102" s="1" t="n"/>
      <c r="R102" s="7" t="n"/>
      <c r="S102" s="7" t="n"/>
      <c r="T102" s="12" t="n"/>
      <c r="U102" s="1" t="n"/>
      <c r="V102" s="1" t="n"/>
    </row>
    <row r="103" ht="12" customHeight="1" s="195">
      <c r="A103" s="126" t="n">
        <v>7100</v>
      </c>
      <c r="B103" s="185" t="inlineStr">
        <is>
          <t>WATERPROOFING</t>
        </is>
      </c>
      <c r="C103" s="186" t="n"/>
      <c r="D103" s="127" t="n">
        <v>1</v>
      </c>
      <c r="E103" s="128" t="inlineStr">
        <is>
          <t>SUB</t>
        </is>
      </c>
      <c r="F103" s="128" t="n"/>
      <c r="G103" s="129" t="n"/>
      <c r="H103" s="129" t="n"/>
      <c r="I103" s="205" t="n">
        <v>88000</v>
      </c>
      <c r="J103" s="130" t="n"/>
      <c r="K103" s="130" t="n"/>
      <c r="L103" s="100" t="n"/>
      <c r="M103" s="1">
        <f>IF(N103&gt;0,ROUND(N103/$M$10,0),0)</f>
        <v/>
      </c>
      <c r="N103" s="1">
        <f>(G103*D103)</f>
        <v/>
      </c>
      <c r="O103" s="7">
        <f>(N103*$O$10)</f>
        <v/>
      </c>
      <c r="P103" s="1">
        <f>(H103*D103)</f>
        <v/>
      </c>
      <c r="Q103" s="1">
        <f>(I103*D103)</f>
        <v/>
      </c>
      <c r="R103" s="1">
        <f>(J103*D103)</f>
        <v/>
      </c>
      <c r="S103" s="7">
        <f>(K103*D103)</f>
        <v/>
      </c>
      <c r="T103" s="12">
        <f>SUM(N103:S103)</f>
        <v/>
      </c>
      <c r="U103" s="1" t="n"/>
      <c r="V103" s="1" t="n"/>
    </row>
    <row r="104" ht="12" customHeight="1" s="195">
      <c r="A104" s="126" t="n">
        <v>7200</v>
      </c>
      <c r="B104" s="185" t="inlineStr">
        <is>
          <t>INSULATION ALLOWANCE</t>
        </is>
      </c>
      <c r="C104" s="186" t="n"/>
      <c r="D104" s="127" t="n">
        <v>1</v>
      </c>
      <c r="E104" s="128" t="inlineStr">
        <is>
          <t>SUB</t>
        </is>
      </c>
      <c r="F104" s="128" t="n"/>
      <c r="G104" s="129" t="n"/>
      <c r="H104" s="129" t="n"/>
      <c r="I104" s="205" t="n">
        <v>44000</v>
      </c>
      <c r="J104" s="130" t="n"/>
      <c r="K104" s="130" t="n"/>
      <c r="L104" s="100" t="n"/>
      <c r="M104" s="1">
        <f>IF(N104&gt;0,ROUND(N104/$M$10,0),0)</f>
        <v/>
      </c>
      <c r="N104" s="1">
        <f>(G104*D104)</f>
        <v/>
      </c>
      <c r="O104" s="7">
        <f>(N104*$O$10)</f>
        <v/>
      </c>
      <c r="P104" s="1">
        <f>(H104*D104)</f>
        <v/>
      </c>
      <c r="Q104" s="1">
        <f>(I104*D104)</f>
        <v/>
      </c>
      <c r="R104" s="1">
        <f>(J104*D104)</f>
        <v/>
      </c>
      <c r="S104" s="7">
        <f>(K104*D104)</f>
        <v/>
      </c>
      <c r="T104" s="12">
        <f>SUM(N104:S104)</f>
        <v/>
      </c>
      <c r="U104" s="1" t="n"/>
      <c r="V104" s="1" t="n"/>
    </row>
    <row r="105" ht="12" customHeight="1" s="195">
      <c r="A105" s="126" t="n">
        <v>7300</v>
      </c>
      <c r="B105" s="185" t="inlineStr">
        <is>
          <t>ROOFING</t>
        </is>
      </c>
      <c r="C105" s="186" t="n"/>
      <c r="D105" s="127" t="n">
        <v>1</v>
      </c>
      <c r="E105" s="128" t="inlineStr">
        <is>
          <t>SUB</t>
        </is>
      </c>
      <c r="F105" s="128" t="n"/>
      <c r="G105" s="129" t="n"/>
      <c r="H105" s="129" t="n"/>
      <c r="I105" s="205" t="n">
        <v>88000</v>
      </c>
      <c r="J105" s="130" t="n"/>
      <c r="K105" s="130" t="n"/>
      <c r="L105" s="100" t="n"/>
      <c r="M105" s="1">
        <f>IF(N105&gt;0,ROUND(N105/$M$10,0),0)</f>
        <v/>
      </c>
      <c r="N105" s="1">
        <f>(G105*D105)</f>
        <v/>
      </c>
      <c r="O105" s="7">
        <f>(N105*$O$10)</f>
        <v/>
      </c>
      <c r="P105" s="1">
        <f>(H105*D105)</f>
        <v/>
      </c>
      <c r="Q105" s="1">
        <f>(I105*D105)</f>
        <v/>
      </c>
      <c r="R105" s="1">
        <f>(J105*D105)</f>
        <v/>
      </c>
      <c r="S105" s="7">
        <f>(K105*D105)</f>
        <v/>
      </c>
      <c r="T105" s="12">
        <f>SUM(N105:S105)</f>
        <v/>
      </c>
      <c r="U105" s="1" t="n"/>
      <c r="V105" s="1" t="n"/>
    </row>
    <row r="106" ht="12" customHeight="1" s="195">
      <c r="A106" s="126" t="n">
        <v>7900</v>
      </c>
      <c r="B106" s="185" t="inlineStr">
        <is>
          <t>JOINT SEALERS / CAULKING</t>
        </is>
      </c>
      <c r="C106" s="186" t="n"/>
      <c r="D106" s="127" t="n">
        <v>1</v>
      </c>
      <c r="E106" s="128" t="inlineStr">
        <is>
          <t>SUB</t>
        </is>
      </c>
      <c r="F106" s="128" t="n"/>
      <c r="G106" s="129" t="n"/>
      <c r="H106" s="129" t="n"/>
      <c r="I106" s="205" t="n">
        <v>25000</v>
      </c>
      <c r="J106" s="130" t="n"/>
      <c r="K106" s="130" t="n"/>
      <c r="L106" s="100" t="n"/>
      <c r="M106" s="1">
        <f>IF(N106&gt;0,ROUND(N106/$M$10,0),0)</f>
        <v/>
      </c>
      <c r="N106" s="1">
        <f>(G106*D106)</f>
        <v/>
      </c>
      <c r="O106" s="7">
        <f>(N106*$O$10)</f>
        <v/>
      </c>
      <c r="P106" s="1">
        <f>(H106*D106)</f>
        <v/>
      </c>
      <c r="Q106" s="1">
        <f>(I106*D106)</f>
        <v/>
      </c>
      <c r="R106" s="1">
        <f>(J106*D106)</f>
        <v/>
      </c>
      <c r="S106" s="7">
        <f>(K106*D106)</f>
        <v/>
      </c>
      <c r="T106" s="12">
        <f>SUM(N106:S106)</f>
        <v/>
      </c>
      <c r="U106" s="1" t="n"/>
      <c r="V106" s="1" t="n"/>
    </row>
    <row r="107" ht="12" customHeight="1" s="195">
      <c r="A107" s="126" t="n">
        <v>7200</v>
      </c>
      <c r="B107" s="176" t="inlineStr">
        <is>
          <t>INSULATION</t>
        </is>
      </c>
      <c r="C107" s="185" t="n"/>
      <c r="D107" s="127" t="n">
        <v>1</v>
      </c>
      <c r="E107" s="128" t="inlineStr">
        <is>
          <t>SUB</t>
        </is>
      </c>
      <c r="F107" s="128" t="n"/>
      <c r="G107" s="129" t="n"/>
      <c r="H107" s="129" t="n"/>
      <c r="I107" s="129" t="n"/>
      <c r="J107" s="130" t="n"/>
      <c r="K107" s="130" t="n"/>
      <c r="L107" s="100" t="n"/>
      <c r="M107" s="1">
        <f>IF(N107&gt;0,ROUND(N107/$M$10,0),0)</f>
        <v/>
      </c>
      <c r="N107" s="1">
        <f>(G107*D107)</f>
        <v/>
      </c>
      <c r="O107" s="7">
        <f>(N107*$O$10)</f>
        <v/>
      </c>
      <c r="P107" s="1">
        <f>(H107*D107)</f>
        <v/>
      </c>
      <c r="Q107" s="1">
        <f>(I107*D107)</f>
        <v/>
      </c>
      <c r="R107" s="1">
        <f>(J107*D107)</f>
        <v/>
      </c>
      <c r="S107" s="7">
        <f>(K107*D107)</f>
        <v/>
      </c>
      <c r="T107" s="12">
        <f>SUM(N107:S107)</f>
        <v/>
      </c>
      <c r="U107" s="1" t="n"/>
      <c r="V107" s="1" t="n"/>
    </row>
    <row r="108" ht="12" customHeight="1" s="195">
      <c r="A108" s="126" t="n">
        <v>7200</v>
      </c>
      <c r="B108" s="176" t="inlineStr">
        <is>
          <t>INSULATION</t>
        </is>
      </c>
      <c r="C108" s="185" t="n"/>
      <c r="D108" s="127" t="n">
        <v>1</v>
      </c>
      <c r="E108" s="128" t="inlineStr">
        <is>
          <t>SUB</t>
        </is>
      </c>
      <c r="F108" s="128" t="n"/>
      <c r="G108" s="129" t="n"/>
      <c r="H108" s="129" t="n"/>
      <c r="I108" s="129" t="n"/>
      <c r="J108" s="130" t="n"/>
      <c r="K108" s="130" t="n"/>
      <c r="L108" s="100" t="n"/>
      <c r="M108" s="1">
        <f>IF(N108&gt;0,ROUND(N108/$M$10,0),0)</f>
        <v/>
      </c>
      <c r="N108" s="1">
        <f>(G108*D108)</f>
        <v/>
      </c>
      <c r="O108" s="7">
        <f>(N108*$O$10)</f>
        <v/>
      </c>
      <c r="P108" s="1">
        <f>(H108*D108)</f>
        <v/>
      </c>
      <c r="Q108" s="1">
        <f>(I108*D108)</f>
        <v/>
      </c>
      <c r="R108" s="1">
        <f>(J108*D108)</f>
        <v/>
      </c>
      <c r="S108" s="7">
        <f>(K108*D108)</f>
        <v/>
      </c>
      <c r="T108" s="12">
        <f>SUM(N108:S108)</f>
        <v/>
      </c>
      <c r="U108" s="1" t="n"/>
      <c r="V108" s="1" t="n"/>
    </row>
    <row r="109" ht="12" customHeight="1" s="195">
      <c r="A109" s="126" t="n">
        <v>7200</v>
      </c>
      <c r="B109" s="176" t="inlineStr">
        <is>
          <t>INSULATION</t>
        </is>
      </c>
      <c r="C109" s="185" t="n"/>
      <c r="D109" s="127" t="n">
        <v>1</v>
      </c>
      <c r="E109" s="128" t="inlineStr">
        <is>
          <t>SUB</t>
        </is>
      </c>
      <c r="F109" s="128" t="n"/>
      <c r="G109" s="129" t="n"/>
      <c r="H109" s="129" t="n"/>
      <c r="I109" s="129" t="n"/>
      <c r="J109" s="130" t="n"/>
      <c r="K109" s="130" t="n"/>
      <c r="L109" s="100" t="n"/>
      <c r="M109" s="1">
        <f>IF(N109&gt;0,ROUND(N109/$M$10,0),0)</f>
        <v/>
      </c>
      <c r="N109" s="1">
        <f>(G109*D109)</f>
        <v/>
      </c>
      <c r="O109" s="7">
        <f>(N109*$O$10)</f>
        <v/>
      </c>
      <c r="P109" s="1">
        <f>(H109*D109)</f>
        <v/>
      </c>
      <c r="Q109" s="1">
        <f>(I109*D109)</f>
        <v/>
      </c>
      <c r="R109" s="1">
        <f>(J109*D109)</f>
        <v/>
      </c>
      <c r="S109" s="7">
        <f>(K109*D109)</f>
        <v/>
      </c>
      <c r="T109" s="12">
        <f>SUM(N109:S109)</f>
        <v/>
      </c>
      <c r="U109" s="1" t="n"/>
      <c r="V109" s="1" t="n"/>
    </row>
    <row r="110" ht="12" customHeight="1" s="195">
      <c r="A110" s="126" t="n">
        <v>7200</v>
      </c>
      <c r="B110" s="176" t="inlineStr">
        <is>
          <t>INSULATION</t>
        </is>
      </c>
      <c r="C110" s="185" t="n"/>
      <c r="D110" s="127" t="n">
        <v>1</v>
      </c>
      <c r="E110" s="128" t="inlineStr">
        <is>
          <t>SUB</t>
        </is>
      </c>
      <c r="F110" s="128" t="n"/>
      <c r="G110" s="129" t="n"/>
      <c r="H110" s="129" t="n"/>
      <c r="I110" s="129" t="n"/>
      <c r="J110" s="130" t="n"/>
      <c r="K110" s="130" t="n"/>
      <c r="L110" s="100" t="n"/>
      <c r="M110" s="1">
        <f>IF(N110&gt;0,ROUND(N110/$M$10,0),0)</f>
        <v/>
      </c>
      <c r="N110" s="1">
        <f>(G110*D110)</f>
        <v/>
      </c>
      <c r="O110" s="7">
        <f>(N110*$O$10)</f>
        <v/>
      </c>
      <c r="P110" s="1">
        <f>(H110*D110)</f>
        <v/>
      </c>
      <c r="Q110" s="1">
        <f>(I110*D110)</f>
        <v/>
      </c>
      <c r="R110" s="1">
        <f>(J110*D110)</f>
        <v/>
      </c>
      <c r="S110" s="7">
        <f>(K110*D110)</f>
        <v/>
      </c>
      <c r="T110" s="12">
        <f>SUM(N110:S110)</f>
        <v/>
      </c>
      <c r="U110" s="1" t="n"/>
      <c r="V110" s="1" t="n"/>
    </row>
    <row r="111" ht="12" customHeight="1" s="195">
      <c r="A111" s="126" t="n">
        <v>7200</v>
      </c>
      <c r="B111" s="176" t="inlineStr">
        <is>
          <t>INSULATION</t>
        </is>
      </c>
      <c r="C111" s="185" t="n"/>
      <c r="D111" s="127" t="n">
        <v>1</v>
      </c>
      <c r="E111" s="128" t="inlineStr">
        <is>
          <t>SUB</t>
        </is>
      </c>
      <c r="F111" s="128" t="n"/>
      <c r="G111" s="129" t="n"/>
      <c r="H111" s="129" t="n"/>
      <c r="I111" s="129" t="n"/>
      <c r="J111" s="130" t="n"/>
      <c r="K111" s="130" t="n"/>
      <c r="L111" s="100" t="n"/>
      <c r="M111" s="1">
        <f>IF(N111&gt;0,ROUND(N111/$M$10,0),0)</f>
        <v/>
      </c>
      <c r="N111" s="1">
        <f>(G111*D111)</f>
        <v/>
      </c>
      <c r="O111" s="7">
        <f>(N111*$O$10)</f>
        <v/>
      </c>
      <c r="P111" s="1">
        <f>(H111*D111)</f>
        <v/>
      </c>
      <c r="Q111" s="1">
        <f>(I111*D111)</f>
        <v/>
      </c>
      <c r="R111" s="1">
        <f>(J111*D111)</f>
        <v/>
      </c>
      <c r="S111" s="7">
        <f>(K111*D111)</f>
        <v/>
      </c>
      <c r="T111" s="12">
        <f>SUM(N111:S111)</f>
        <v/>
      </c>
      <c r="U111" s="1" t="n"/>
      <c r="V111" s="1" t="n"/>
    </row>
    <row r="112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1" t="n"/>
      <c r="N112" s="1" t="n"/>
      <c r="O112" s="7" t="n"/>
      <c r="P112" s="1" t="n"/>
      <c r="Q112" s="1" t="n"/>
      <c r="R112" s="7" t="n"/>
      <c r="S112" s="7" t="n"/>
      <c r="T112" s="12" t="n"/>
      <c r="U112" s="1" t="n"/>
      <c r="V112" s="1" t="n"/>
    </row>
    <row r="113" ht="10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3">
        <f>SUM(M102:M112)</f>
        <v/>
      </c>
      <c r="N113" s="93">
        <f>SUM(N102:N112)</f>
        <v/>
      </c>
      <c r="O113" s="95">
        <f>SUM(O102:O112)</f>
        <v/>
      </c>
      <c r="P113" s="93">
        <f>SUM(P102:P112)</f>
        <v/>
      </c>
      <c r="Q113" s="93">
        <f>SUM(Q102:Q112)</f>
        <v/>
      </c>
      <c r="R113" s="95">
        <f>SUM(R102:R112)</f>
        <v/>
      </c>
      <c r="S113" s="95">
        <f>SUM(S102:S112)</f>
        <v/>
      </c>
      <c r="T113" s="98">
        <f>SUM(T102:T112)</f>
        <v/>
      </c>
      <c r="U113" s="203" t="n">
        <v>0</v>
      </c>
      <c r="V113" s="203" t="n">
        <v>0</v>
      </c>
    </row>
    <row r="114" ht="10" customHeight="1" s="195">
      <c r="A114" s="109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" t="n"/>
      <c r="N114" s="1" t="n"/>
      <c r="O114" s="7" t="n"/>
      <c r="P114" s="1" t="n"/>
      <c r="Q114" s="1" t="n"/>
      <c r="R114" s="7" t="n"/>
      <c r="S114" s="7" t="n"/>
      <c r="T114" s="12" t="n"/>
      <c r="U114" s="1" t="n"/>
      <c r="V114" s="1" t="n"/>
    </row>
    <row r="115" ht="12" customHeight="1" s="195">
      <c r="A115" s="173" t="n">
        <v>8100</v>
      </c>
      <c r="B115" s="185" t="inlineStr">
        <is>
          <t>METAL DOORS &amp; FRAMES</t>
        </is>
      </c>
      <c r="C115" s="186" t="n"/>
      <c r="D115" s="127" t="n">
        <v>1</v>
      </c>
      <c r="E115" s="128" t="inlineStr">
        <is>
          <t>SUB</t>
        </is>
      </c>
      <c r="F115" s="128" t="n"/>
      <c r="G115" s="202" t="n"/>
      <c r="H115" s="202" t="n"/>
      <c r="I115" s="205" t="n">
        <v>88000</v>
      </c>
      <c r="J115" s="130" t="n"/>
      <c r="K115" s="130" t="n"/>
      <c r="L115" s="100" t="n"/>
      <c r="M115" s="1">
        <f>IF(N115&gt;0,ROUND(N115/$M$10,0),0)</f>
        <v/>
      </c>
      <c r="N115" s="1">
        <f>(G115*D115)</f>
        <v/>
      </c>
      <c r="O115" s="7">
        <f>(N115*$O$10)</f>
        <v/>
      </c>
      <c r="P115" s="1">
        <f>(H115*D115)</f>
        <v/>
      </c>
      <c r="Q115" s="1">
        <f>(I115*D115)</f>
        <v/>
      </c>
      <c r="R115" s="1">
        <f>(J115*D115)</f>
        <v/>
      </c>
      <c r="S115" s="7">
        <f>(K115*D115)</f>
        <v/>
      </c>
      <c r="T115" s="12">
        <f>SUM(N115:S115)</f>
        <v/>
      </c>
      <c r="U115" s="1" t="n"/>
      <c r="V115" s="1" t="n"/>
    </row>
    <row r="116" ht="12" customHeight="1" s="195">
      <c r="A116" s="173" t="n">
        <v>8200</v>
      </c>
      <c r="B116" s="185" t="inlineStr">
        <is>
          <t>WOOD &amp; PLASTIC DOORS</t>
        </is>
      </c>
      <c r="C116" s="186" t="n"/>
      <c r="D116" s="127" t="n">
        <v>1</v>
      </c>
      <c r="E116" s="128" t="inlineStr">
        <is>
          <t>SUB</t>
        </is>
      </c>
      <c r="F116" s="128" t="n"/>
      <c r="G116" s="129" t="n"/>
      <c r="H116" s="129" t="n"/>
      <c r="I116" s="205" t="n">
        <v>50000</v>
      </c>
      <c r="J116" s="130" t="n"/>
      <c r="K116" s="130" t="n"/>
      <c r="L116" s="100" t="n"/>
      <c r="M116" s="1">
        <f>IF(N116&gt;0,ROUND(N116/$M$10,0),0)</f>
        <v/>
      </c>
      <c r="N116" s="1">
        <f>(G116*D116)</f>
        <v/>
      </c>
      <c r="O116" s="7">
        <f>(N116*$O$10)</f>
        <v/>
      </c>
      <c r="P116" s="1">
        <f>(H116*D116)</f>
        <v/>
      </c>
      <c r="Q116" s="1">
        <f>(I116*D116)</f>
        <v/>
      </c>
      <c r="R116" s="1">
        <f>(J116*D116)</f>
        <v/>
      </c>
      <c r="S116" s="7">
        <f>(K116*D116)</f>
        <v/>
      </c>
      <c r="T116" s="12">
        <f>SUM(N116:S116)</f>
        <v/>
      </c>
      <c r="U116" s="1" t="n"/>
      <c r="V116" s="1" t="n"/>
    </row>
    <row r="117" ht="12" customHeight="1" s="195">
      <c r="A117" s="173" t="n">
        <v>8400</v>
      </c>
      <c r="B117" s="185" t="inlineStr">
        <is>
          <t>ENTRANCES &amp; STOREFRONTS</t>
        </is>
      </c>
      <c r="C117" s="186" t="n"/>
      <c r="D117" s="127" t="n">
        <v>1</v>
      </c>
      <c r="E117" s="128" t="inlineStr">
        <is>
          <t>SUB</t>
        </is>
      </c>
      <c r="F117" s="128" t="n"/>
      <c r="G117" s="129" t="n"/>
      <c r="H117" s="129" t="n"/>
      <c r="I117" s="205" t="n">
        <v>69000</v>
      </c>
      <c r="J117" s="130" t="n"/>
      <c r="K117" s="130" t="n"/>
      <c r="L117" s="100" t="n"/>
      <c r="M117" s="1">
        <f>IF(N117&gt;0,ROUND(N117/$M$10,0),0)</f>
        <v/>
      </c>
      <c r="N117" s="1">
        <f>(G117*D117)</f>
        <v/>
      </c>
      <c r="O117" s="7">
        <f>(N117*$O$10)</f>
        <v/>
      </c>
      <c r="P117" s="1">
        <f>(H117*D117)</f>
        <v/>
      </c>
      <c r="Q117" s="1">
        <f>(I117*D117)</f>
        <v/>
      </c>
      <c r="R117" s="1">
        <f>(J117*D117)</f>
        <v/>
      </c>
      <c r="S117" s="7">
        <f>(K117*D117)</f>
        <v/>
      </c>
      <c r="T117" s="12">
        <f>SUM(N117:S117)</f>
        <v/>
      </c>
      <c r="U117" s="1" t="n"/>
      <c r="V117" s="1" t="n"/>
    </row>
    <row r="118" ht="12" customHeight="1" s="195">
      <c r="A118" s="173" t="n">
        <v>8600</v>
      </c>
      <c r="B118" s="185" t="inlineStr">
        <is>
          <t>WOOD &amp; PLASTIC WINDOWS</t>
        </is>
      </c>
      <c r="C118" s="186" t="n"/>
      <c r="D118" s="127" t="n">
        <v>1</v>
      </c>
      <c r="E118" s="128" t="inlineStr">
        <is>
          <t>SUB</t>
        </is>
      </c>
      <c r="F118" s="128" t="n"/>
      <c r="G118" s="129" t="n"/>
      <c r="H118" s="129" t="n"/>
      <c r="I118" s="205" t="n">
        <v>69000</v>
      </c>
      <c r="J118" s="130" t="n"/>
      <c r="K118" s="130" t="n"/>
      <c r="L118" s="100" t="n"/>
      <c r="M118" s="1">
        <f>IF(N118&gt;0,ROUND(N118/$M$10,0),0)</f>
        <v/>
      </c>
      <c r="N118" s="1">
        <f>(G118*D118)</f>
        <v/>
      </c>
      <c r="O118" s="7">
        <f>(N118*$O$10)</f>
        <v/>
      </c>
      <c r="P118" s="1">
        <f>(H118*D118)</f>
        <v/>
      </c>
      <c r="Q118" s="1">
        <f>(I118*D118)</f>
        <v/>
      </c>
      <c r="R118" s="1">
        <f>(J118*D118)</f>
        <v/>
      </c>
      <c r="S118" s="7">
        <f>(K118*D118)</f>
        <v/>
      </c>
      <c r="T118" s="12">
        <f>SUM(N118:S118)</f>
        <v/>
      </c>
      <c r="U118" s="1" t="n"/>
      <c r="V118" s="1" t="n"/>
    </row>
    <row r="119" ht="12" customHeight="1" s="195">
      <c r="A119" s="173" t="n">
        <v>8700</v>
      </c>
      <c r="B119" s="185" t="inlineStr">
        <is>
          <t>FINISH HARDWARE</t>
        </is>
      </c>
      <c r="C119" s="186" t="n"/>
      <c r="D119" s="127" t="n">
        <v>1</v>
      </c>
      <c r="E119" s="128" t="inlineStr">
        <is>
          <t>SUB</t>
        </is>
      </c>
      <c r="F119" s="128" t="n"/>
      <c r="G119" s="129" t="n"/>
      <c r="H119" s="129" t="n"/>
      <c r="I119" s="205" t="n">
        <v>88000</v>
      </c>
      <c r="J119" s="130" t="n"/>
      <c r="K119" s="130" t="n"/>
      <c r="L119" s="100" t="n"/>
      <c r="M119" s="1">
        <f>IF(N119&gt;0,ROUND(N119/$M$10,0),0)</f>
        <v/>
      </c>
      <c r="N119" s="1">
        <f>(G119*D119)</f>
        <v/>
      </c>
      <c r="O119" s="7">
        <f>(N119*$O$10)</f>
        <v/>
      </c>
      <c r="P119" s="1">
        <f>(H119*D119)</f>
        <v/>
      </c>
      <c r="Q119" s="1">
        <f>(I119*D119)</f>
        <v/>
      </c>
      <c r="R119" s="1">
        <f>(J119*D119)</f>
        <v/>
      </c>
      <c r="S119" s="7">
        <f>(K119*D119)</f>
        <v/>
      </c>
      <c r="T119" s="12">
        <f>SUM(N119:S119)</f>
        <v/>
      </c>
      <c r="U119" s="1" t="n"/>
      <c r="V119" s="1" t="n"/>
    </row>
    <row r="120" ht="12" customHeight="1" s="195">
      <c r="A120" s="173" t="n">
        <v>8750</v>
      </c>
      <c r="B120" s="185" t="inlineStr">
        <is>
          <t>DOORS/JAMBS/HDW</t>
        </is>
      </c>
      <c r="C120" s="186" t="n"/>
      <c r="D120" s="127" t="n">
        <v>1</v>
      </c>
      <c r="E120" s="128" t="inlineStr">
        <is>
          <t>SUB</t>
        </is>
      </c>
      <c r="F120" s="128" t="n"/>
      <c r="G120" s="129" t="n"/>
      <c r="H120" s="129" t="n"/>
      <c r="I120" s="205" t="n">
        <v>88000</v>
      </c>
      <c r="J120" s="130" t="n"/>
      <c r="K120" s="130" t="n"/>
      <c r="L120" s="100" t="n"/>
      <c r="M120" s="1">
        <f>IF(N120&gt;0,ROUND(N120/$M$10,0),0)</f>
        <v/>
      </c>
      <c r="N120" s="1">
        <f>(G120*D120)</f>
        <v/>
      </c>
      <c r="O120" s="7">
        <f>(N120*$O$10)</f>
        <v/>
      </c>
      <c r="P120" s="1">
        <f>(H120*D120)</f>
        <v/>
      </c>
      <c r="Q120" s="1">
        <f>(I120*D120)</f>
        <v/>
      </c>
      <c r="R120" s="1">
        <f>(J120*D120)</f>
        <v/>
      </c>
      <c r="S120" s="7">
        <f>(K120*D120)</f>
        <v/>
      </c>
      <c r="T120" s="12">
        <f>SUM(N120:S120)</f>
        <v/>
      </c>
      <c r="U120" s="1" t="n"/>
      <c r="V120" s="1" t="n"/>
    </row>
    <row r="121" ht="12" customHeight="1" s="195">
      <c r="A121" s="173" t="n">
        <v>8800</v>
      </c>
      <c r="B121" s="185" t="inlineStr">
        <is>
          <t>GLAZING</t>
        </is>
      </c>
      <c r="C121" s="186" t="n"/>
      <c r="D121" s="127" t="n">
        <v>1</v>
      </c>
      <c r="E121" s="128" t="inlineStr">
        <is>
          <t>SUB</t>
        </is>
      </c>
      <c r="F121" s="128" t="n"/>
      <c r="G121" s="129" t="n"/>
      <c r="H121" s="129" t="n"/>
      <c r="I121" s="205" t="n">
        <v>88000</v>
      </c>
      <c r="J121" s="130" t="n"/>
      <c r="K121" s="130" t="n"/>
      <c r="L121" s="100" t="n"/>
      <c r="M121" s="1">
        <f>IF(N121&gt;0,ROUND(N121/$M$10,0),0)</f>
        <v/>
      </c>
      <c r="N121" s="1">
        <f>(G121*D121)</f>
        <v/>
      </c>
      <c r="O121" s="7">
        <f>(N121*$O$10)</f>
        <v/>
      </c>
      <c r="P121" s="1">
        <f>(H121*D121)</f>
        <v/>
      </c>
      <c r="Q121" s="1">
        <f>(I121*D121)</f>
        <v/>
      </c>
      <c r="R121" s="1">
        <f>(J121*D121)</f>
        <v/>
      </c>
      <c r="S121" s="7">
        <f>(K121*D121)</f>
        <v/>
      </c>
      <c r="T121" s="12">
        <f>SUM(N121:S121)</f>
        <v/>
      </c>
      <c r="U121" s="1" t="n"/>
      <c r="V121" s="1" t="n"/>
    </row>
    <row r="122" ht="12" customHeight="1" s="195">
      <c r="A122" s="173" t="n">
        <v>8850</v>
      </c>
      <c r="B122" s="185" t="inlineStr">
        <is>
          <t>RELITE</t>
        </is>
      </c>
      <c r="C122" s="186" t="n"/>
      <c r="D122" s="127" t="n">
        <v>1</v>
      </c>
      <c r="E122" s="128" t="inlineStr">
        <is>
          <t>SUB</t>
        </is>
      </c>
      <c r="F122" s="128" t="n"/>
      <c r="G122" s="129" t="n"/>
      <c r="H122" s="129" t="n"/>
      <c r="I122" s="205" t="n">
        <v>31000</v>
      </c>
      <c r="J122" s="130" t="n"/>
      <c r="K122" s="130" t="n"/>
      <c r="L122" s="100" t="n"/>
      <c r="M122" s="1">
        <f>IF(N122&gt;0,ROUND(N122/$M$10,0),0)</f>
        <v/>
      </c>
      <c r="N122" s="1">
        <f>(G122*D122)</f>
        <v/>
      </c>
      <c r="O122" s="7">
        <f>(N122*$O$10)</f>
        <v/>
      </c>
      <c r="P122" s="1">
        <f>(H122*D122)</f>
        <v/>
      </c>
      <c r="Q122" s="1">
        <f>(I122*D122)</f>
        <v/>
      </c>
      <c r="R122" s="1">
        <f>(J122*D122)</f>
        <v/>
      </c>
      <c r="S122" s="7">
        <f>(K122*D122)</f>
        <v/>
      </c>
      <c r="T122" s="12">
        <f>SUM(N122:S122)</f>
        <v/>
      </c>
      <c r="U122" s="1" t="n"/>
      <c r="V122" s="1" t="n"/>
    </row>
    <row r="123" ht="12" customHeight="1" s="195">
      <c r="A123" s="173" t="n">
        <v>8750</v>
      </c>
      <c r="B123" s="185" t="inlineStr">
        <is>
          <t>DOORS/JAMBS/HDW</t>
        </is>
      </c>
      <c r="C123" s="186" t="n"/>
      <c r="D123" s="127" t="n">
        <v>1</v>
      </c>
      <c r="E123" s="128" t="inlineStr">
        <is>
          <t>SUB</t>
        </is>
      </c>
      <c r="F123" s="128" t="n"/>
      <c r="G123" s="129" t="n"/>
      <c r="H123" s="129" t="n"/>
      <c r="I123" s="129" t="n"/>
      <c r="J123" s="130" t="n"/>
      <c r="K123" s="130" t="n"/>
      <c r="L123" s="100" t="n"/>
      <c r="M123" s="1">
        <f>IF(N123&gt;0,ROUND(N123/$M$10,0),0)</f>
        <v/>
      </c>
      <c r="N123" s="1">
        <f>(G123*D123)</f>
        <v/>
      </c>
      <c r="O123" s="7">
        <f>(N123*$O$10)</f>
        <v/>
      </c>
      <c r="P123" s="1">
        <f>(H123*D123)</f>
        <v/>
      </c>
      <c r="Q123" s="1">
        <f>(I123*D123)</f>
        <v/>
      </c>
      <c r="R123" s="1">
        <f>(J123*D123)</f>
        <v/>
      </c>
      <c r="S123" s="7">
        <f>(K123*D123)</f>
        <v/>
      </c>
      <c r="T123" s="12">
        <f>SUM(N123:S123)</f>
        <v/>
      </c>
      <c r="U123" s="1" t="n"/>
      <c r="V123" s="1" t="n"/>
    </row>
    <row r="124" ht="12" customHeight="1" s="195">
      <c r="A124" s="173" t="n">
        <v>8750</v>
      </c>
      <c r="B124" s="185" t="inlineStr">
        <is>
          <t>DOORS/JAMBS/HDW</t>
        </is>
      </c>
      <c r="C124" s="186" t="n"/>
      <c r="D124" s="127" t="n">
        <v>1</v>
      </c>
      <c r="E124" s="128" t="inlineStr">
        <is>
          <t>SUB</t>
        </is>
      </c>
      <c r="F124" s="128" t="n"/>
      <c r="G124" s="129" t="n"/>
      <c r="H124" s="129" t="n"/>
      <c r="I124" s="129" t="n"/>
      <c r="J124" s="130" t="n"/>
      <c r="K124" s="130" t="n"/>
      <c r="L124" s="100" t="n"/>
      <c r="M124" s="1">
        <f>IF(N124&gt;0,ROUND(N124/$M$10,0),0)</f>
        <v/>
      </c>
      <c r="N124" s="1">
        <f>(G124*D124)</f>
        <v/>
      </c>
      <c r="O124" s="7">
        <f>(N124*$O$10)</f>
        <v/>
      </c>
      <c r="P124" s="1">
        <f>(H124*D124)</f>
        <v/>
      </c>
      <c r="Q124" s="1">
        <f>(I124*D124)</f>
        <v/>
      </c>
      <c r="R124" s="1">
        <f>(J124*D124)</f>
        <v/>
      </c>
      <c r="S124" s="7">
        <f>(K124*D124)</f>
        <v/>
      </c>
      <c r="T124" s="12">
        <f>SUM(N124:S124)</f>
        <v/>
      </c>
      <c r="U124" s="1" t="n"/>
      <c r="V124" s="1" t="n"/>
    </row>
    <row r="125" ht="12" customHeight="1" s="195">
      <c r="A125" s="173" t="n">
        <v>8750</v>
      </c>
      <c r="B125" s="185" t="inlineStr">
        <is>
          <t>DOORS/JAMBS/HDW</t>
        </is>
      </c>
      <c r="C125" s="186" t="n"/>
      <c r="D125" s="127" t="n">
        <v>1</v>
      </c>
      <c r="E125" s="128" t="inlineStr">
        <is>
          <t>SUB</t>
        </is>
      </c>
      <c r="F125" s="128" t="n"/>
      <c r="G125" s="129" t="n"/>
      <c r="H125" s="129" t="n"/>
      <c r="I125" s="129" t="n"/>
      <c r="J125" s="130" t="n"/>
      <c r="K125" s="130" t="n"/>
      <c r="L125" s="100" t="n"/>
      <c r="M125" s="1">
        <f>IF(N125&gt;0,ROUND(N125/$M$10,0),0)</f>
        <v/>
      </c>
      <c r="N125" s="1">
        <f>(G125*D125)</f>
        <v/>
      </c>
      <c r="O125" s="7">
        <f>(N125*$O$10)</f>
        <v/>
      </c>
      <c r="P125" s="1">
        <f>(H125*D125)</f>
        <v/>
      </c>
      <c r="Q125" s="1">
        <f>(I125*D125)</f>
        <v/>
      </c>
      <c r="R125" s="1">
        <f>(J125*D125)</f>
        <v/>
      </c>
      <c r="S125" s="7">
        <f>(K125*D125)</f>
        <v/>
      </c>
      <c r="T125" s="12">
        <f>SUM(N125:S125)</f>
        <v/>
      </c>
      <c r="U125" s="1" t="n"/>
      <c r="V125" s="1" t="n"/>
    </row>
    <row r="126" ht="12" customHeight="1" s="195">
      <c r="A126" s="173" t="n">
        <v>8750</v>
      </c>
      <c r="B126" s="185" t="inlineStr">
        <is>
          <t>DOORS/JAMBS/HDW</t>
        </is>
      </c>
      <c r="C126" s="186" t="n"/>
      <c r="D126" s="127" t="n">
        <v>1</v>
      </c>
      <c r="E126" s="128" t="inlineStr">
        <is>
          <t>SUB</t>
        </is>
      </c>
      <c r="F126" s="128" t="n"/>
      <c r="G126" s="129" t="n"/>
      <c r="H126" s="129" t="n"/>
      <c r="I126" s="129" t="n"/>
      <c r="J126" s="130" t="n"/>
      <c r="K126" s="130" t="n"/>
      <c r="L126" s="100" t="n"/>
      <c r="M126" s="1">
        <f>IF(N126&gt;0,ROUND(N126/$M$10,0),0)</f>
        <v/>
      </c>
      <c r="N126" s="1">
        <f>(G126*D126)</f>
        <v/>
      </c>
      <c r="O126" s="7">
        <f>(N126*$O$10)</f>
        <v/>
      </c>
      <c r="P126" s="1">
        <f>(H126*D126)</f>
        <v/>
      </c>
      <c r="Q126" s="1">
        <f>(I126*D126)</f>
        <v/>
      </c>
      <c r="R126" s="1">
        <f>(J126*D126)</f>
        <v/>
      </c>
      <c r="S126" s="7">
        <f>(K126*D126)</f>
        <v/>
      </c>
      <c r="T126" s="12">
        <f>SUM(N126:S126)</f>
        <v/>
      </c>
      <c r="U126" s="1" t="n"/>
      <c r="V126" s="1" t="n"/>
    </row>
    <row r="127" ht="12" customHeight="1" s="195">
      <c r="A127" s="173" t="n">
        <v>8750</v>
      </c>
      <c r="B127" s="185" t="inlineStr">
        <is>
          <t>DOORS/JAMBS/HDW</t>
        </is>
      </c>
      <c r="C127" s="186" t="n"/>
      <c r="D127" s="127" t="n">
        <v>1</v>
      </c>
      <c r="E127" s="128" t="inlineStr">
        <is>
          <t>SUB</t>
        </is>
      </c>
      <c r="F127" s="128" t="n"/>
      <c r="G127" s="129" t="n"/>
      <c r="H127" s="129" t="n"/>
      <c r="I127" s="129" t="n"/>
      <c r="J127" s="130" t="n"/>
      <c r="K127" s="130" t="n"/>
      <c r="L127" s="100" t="n"/>
      <c r="M127" s="1">
        <f>IF(N127&gt;0,ROUND(N127/$M$10,0),0)</f>
        <v/>
      </c>
      <c r="N127" s="1">
        <f>(G127*D127)</f>
        <v/>
      </c>
      <c r="O127" s="7">
        <f>(N127*$O$10)</f>
        <v/>
      </c>
      <c r="P127" s="1">
        <f>(H127*D127)</f>
        <v/>
      </c>
      <c r="Q127" s="1">
        <f>(I127*D127)</f>
        <v/>
      </c>
      <c r="R127" s="1">
        <f>(J127*D127)</f>
        <v/>
      </c>
      <c r="S127" s="7">
        <f>(K127*D127)</f>
        <v/>
      </c>
      <c r="T127" s="12">
        <f>SUM(N127:S127)</f>
        <v/>
      </c>
      <c r="U127" s="1" t="n"/>
      <c r="V127" s="1" t="n"/>
    </row>
    <row r="128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1" t="n"/>
      <c r="N128" s="1" t="n"/>
      <c r="O128" s="7" t="n"/>
      <c r="P128" s="1" t="n"/>
      <c r="Q128" s="1" t="n"/>
      <c r="R128" s="7" t="n"/>
      <c r="S128" s="7" t="n"/>
      <c r="T128" s="12" t="n"/>
      <c r="U128" s="1" t="n"/>
      <c r="V128" s="1" t="n"/>
    </row>
    <row r="129" ht="10" customHeight="1" s="195">
      <c r="A129" s="125" t="n">
        <v>8700</v>
      </c>
      <c r="B129" s="192" t="inlineStr">
        <is>
          <t>DOORS/JAMBS/RELITES/HDW</t>
        </is>
      </c>
      <c r="C129" s="1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3">
        <f>SUM(M114:M128)</f>
        <v/>
      </c>
      <c r="N129" s="93">
        <f>SUM(N114:N128)</f>
        <v/>
      </c>
      <c r="O129" s="95">
        <f>SUM(O114:O128)</f>
        <v/>
      </c>
      <c r="P129" s="93">
        <f>SUM(P114:P128)</f>
        <v/>
      </c>
      <c r="Q129" s="93">
        <f>SUM(Q114:Q128)</f>
        <v/>
      </c>
      <c r="R129" s="95">
        <f>SUM(R114:R128)</f>
        <v/>
      </c>
      <c r="S129" s="95">
        <f>SUM(S114:S128)</f>
        <v/>
      </c>
      <c r="T129" s="98">
        <f>SUM(T114:T128)</f>
        <v/>
      </c>
      <c r="U129" s="203" t="n">
        <v>0</v>
      </c>
      <c r="V129" s="203" t="n">
        <v>1177.5</v>
      </c>
    </row>
    <row r="130" ht="10" customHeight="1" s="195">
      <c r="A130" s="109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" t="n"/>
      <c r="N130" s="1" t="n"/>
      <c r="O130" s="7" t="n"/>
      <c r="P130" s="1" t="n"/>
      <c r="Q130" s="1" t="n"/>
      <c r="R130" s="7" t="n"/>
      <c r="S130" s="7" t="n"/>
      <c r="T130" s="12" t="n"/>
      <c r="U130" s="1" t="n"/>
      <c r="V130" s="1" t="n"/>
    </row>
    <row r="131" ht="12" customHeight="1" s="195">
      <c r="A131" s="173" t="n">
        <v>9100</v>
      </c>
      <c r="B131" s="185" t="inlineStr">
        <is>
          <t>STEEL STUDS &amp; GWB</t>
        </is>
      </c>
      <c r="C131" s="186" t="n"/>
      <c r="D131" s="127" t="n">
        <v>1</v>
      </c>
      <c r="E131" s="128" t="inlineStr">
        <is>
          <t>SUB</t>
        </is>
      </c>
      <c r="F131" s="128" t="n"/>
      <c r="G131" s="129" t="n"/>
      <c r="H131" s="129" t="n"/>
      <c r="I131" s="205" t="n">
        <v>162000</v>
      </c>
      <c r="J131" s="130" t="n"/>
      <c r="K131" s="130" t="n"/>
      <c r="L131" s="100" t="n"/>
      <c r="M131" s="1">
        <f>IF(N131&gt;0,ROUND(N131/$M$10,0),0)</f>
        <v/>
      </c>
      <c r="N131" s="1">
        <f>(G131*D131)</f>
        <v/>
      </c>
      <c r="O131" s="7">
        <f>(N131*$O$10)</f>
        <v/>
      </c>
      <c r="P131" s="1">
        <f>(H131*D131)</f>
        <v/>
      </c>
      <c r="Q131" s="1">
        <f>(I131*D131)</f>
        <v/>
      </c>
      <c r="R131" s="1">
        <f>(J131*D131)</f>
        <v/>
      </c>
      <c r="S131" s="7">
        <f>(K131*D131)</f>
        <v/>
      </c>
      <c r="T131" s="12">
        <f>SUM(N131:S131)</f>
        <v/>
      </c>
      <c r="U131" s="1" t="n"/>
      <c r="V131" s="1" t="n"/>
    </row>
    <row r="132" ht="12" customHeight="1" s="195">
      <c r="A132" s="173" t="n">
        <v>9250</v>
      </c>
      <c r="B132" s="185" t="inlineStr">
        <is>
          <t>DRYWALL - GYPSUM BOARD</t>
        </is>
      </c>
      <c r="C132" s="186" t="n"/>
      <c r="D132" s="127" t="n">
        <v>1</v>
      </c>
      <c r="E132" s="128" t="inlineStr">
        <is>
          <t>SUB</t>
        </is>
      </c>
      <c r="F132" s="128" t="n"/>
      <c r="G132" s="129" t="n"/>
      <c r="H132" s="129" t="n"/>
      <c r="I132" s="205" t="n">
        <v>144000</v>
      </c>
      <c r="J132" s="130" t="n"/>
      <c r="K132" s="130" t="n"/>
      <c r="L132" s="100" t="n"/>
      <c r="M132" s="1">
        <f>IF(N132&gt;0,ROUND(N132/$M$10,0),0)</f>
        <v/>
      </c>
      <c r="N132" s="1">
        <f>(G132*D132)</f>
        <v/>
      </c>
      <c r="O132" s="7">
        <f>(N132*$O$10)</f>
        <v/>
      </c>
      <c r="P132" s="1">
        <f>(H132*D132)</f>
        <v/>
      </c>
      <c r="Q132" s="1">
        <f>(I132*D132)</f>
        <v/>
      </c>
      <c r="R132" s="1">
        <f>(J132*D132)</f>
        <v/>
      </c>
      <c r="S132" s="7">
        <f>(K132*D132)</f>
        <v/>
      </c>
      <c r="T132" s="12">
        <f>SUM(N132:S132)</f>
        <v/>
      </c>
      <c r="U132" s="1" t="n"/>
      <c r="V132" s="1" t="n"/>
    </row>
    <row r="133" ht="12" customHeight="1" s="195">
      <c r="A133" s="173" t="n">
        <v>9300</v>
      </c>
      <c r="B133" s="185" t="inlineStr">
        <is>
          <t>STONE VENEER FEATURE WALL ALLOWANCE</t>
        </is>
      </c>
      <c r="C133" s="186" t="n"/>
      <c r="D133" s="127" t="n">
        <v>1</v>
      </c>
      <c r="E133" s="128" t="inlineStr">
        <is>
          <t>SUB</t>
        </is>
      </c>
      <c r="F133" s="128" t="n"/>
      <c r="G133" s="129" t="n"/>
      <c r="H133" s="129" t="n"/>
      <c r="I133" s="205" t="n">
        <v>112000</v>
      </c>
      <c r="J133" s="130" t="n"/>
      <c r="K133" s="130" t="n"/>
      <c r="L133" s="100" t="n"/>
      <c r="M133" s="1">
        <f>IF(N133&gt;0,ROUND(N133/$M$10,0),0)</f>
        <v/>
      </c>
      <c r="N133" s="1">
        <f>(G133*D133)</f>
        <v/>
      </c>
      <c r="O133" s="7">
        <f>(N133*$O$10)</f>
        <v/>
      </c>
      <c r="P133" s="1">
        <f>(H133*D133)</f>
        <v/>
      </c>
      <c r="Q133" s="1">
        <f>(I133*D133)</f>
        <v/>
      </c>
      <c r="R133" s="1">
        <f>(J133*D133)</f>
        <v/>
      </c>
      <c r="S133" s="7">
        <f>(K133*D133)</f>
        <v/>
      </c>
      <c r="T133" s="12">
        <f>SUM(N133:S133)</f>
        <v/>
      </c>
      <c r="U133" s="1" t="n"/>
      <c r="V133" s="1" t="n"/>
    </row>
    <row r="134" ht="12" customHeight="1" s="195">
      <c r="A134" s="173" t="n">
        <v>9250</v>
      </c>
      <c r="B134" s="185" t="inlineStr">
        <is>
          <t>DRYWALL - GYPSUM BOARD</t>
        </is>
      </c>
      <c r="C134" s="186" t="n"/>
      <c r="D134" s="127" t="n">
        <v>1</v>
      </c>
      <c r="E134" s="128" t="inlineStr">
        <is>
          <t>SUB</t>
        </is>
      </c>
      <c r="F134" s="128" t="n"/>
      <c r="G134" s="129" t="n"/>
      <c r="H134" s="129" t="n"/>
      <c r="I134" s="129" t="n"/>
      <c r="J134" s="130" t="n"/>
      <c r="K134" s="130" t="n"/>
      <c r="L134" s="100" t="n"/>
      <c r="M134" s="1">
        <f>IF(N134&gt;0,ROUND(N134/$M$10,0),0)</f>
        <v/>
      </c>
      <c r="N134" s="1">
        <f>(G134*D134)</f>
        <v/>
      </c>
      <c r="O134" s="7">
        <f>(N134*$O$10)</f>
        <v/>
      </c>
      <c r="P134" s="1">
        <f>(H134*D134)</f>
        <v/>
      </c>
      <c r="Q134" s="1">
        <f>(I134*D134)</f>
        <v/>
      </c>
      <c r="R134" s="1">
        <f>(J134*D134)</f>
        <v/>
      </c>
      <c r="S134" s="7">
        <f>(K134*D134)</f>
        <v/>
      </c>
      <c r="T134" s="12">
        <f>SUM(N134:S134)</f>
        <v/>
      </c>
      <c r="U134" s="1" t="n"/>
      <c r="V134" s="1" t="n"/>
    </row>
    <row r="135" ht="12" customHeight="1" s="195">
      <c r="A135" s="173" t="n">
        <v>9250</v>
      </c>
      <c r="B135" s="185" t="inlineStr">
        <is>
          <t>DRYWALL - GYPSUM BOARD</t>
        </is>
      </c>
      <c r="C135" s="186" t="n"/>
      <c r="D135" s="127" t="n">
        <v>1</v>
      </c>
      <c r="E135" s="128" t="inlineStr">
        <is>
          <t>SUB</t>
        </is>
      </c>
      <c r="F135" s="128" t="n"/>
      <c r="G135" s="129" t="n"/>
      <c r="H135" s="129" t="n"/>
      <c r="I135" s="129" t="n"/>
      <c r="J135" s="130" t="n"/>
      <c r="K135" s="130" t="n"/>
      <c r="L135" s="100" t="n"/>
      <c r="M135" s="1">
        <f>IF(N135&gt;0,ROUND(N135/$M$10,0),0)</f>
        <v/>
      </c>
      <c r="N135" s="1">
        <f>(G135*D135)</f>
        <v/>
      </c>
      <c r="O135" s="7">
        <f>(N135*$O$10)</f>
        <v/>
      </c>
      <c r="P135" s="1">
        <f>(H135*D135)</f>
        <v/>
      </c>
      <c r="Q135" s="1">
        <f>(I135*D135)</f>
        <v/>
      </c>
      <c r="R135" s="1">
        <f>(J135*D135)</f>
        <v/>
      </c>
      <c r="S135" s="7">
        <f>(K135*D135)</f>
        <v/>
      </c>
      <c r="T135" s="12">
        <f>SUM(N135:S135)</f>
        <v/>
      </c>
      <c r="U135" s="1" t="n"/>
      <c r="V135" s="1" t="n"/>
    </row>
    <row r="136" ht="12" customHeight="1" s="195">
      <c r="A136" s="173" t="n">
        <v>9250</v>
      </c>
      <c r="B136" s="185" t="inlineStr">
        <is>
          <t>DRYWALL - GYPSUM BOARD</t>
        </is>
      </c>
      <c r="C136" s="186" t="n"/>
      <c r="D136" s="127" t="n">
        <v>1</v>
      </c>
      <c r="E136" s="128" t="inlineStr">
        <is>
          <t>SUB</t>
        </is>
      </c>
      <c r="F136" s="128" t="n"/>
      <c r="G136" s="129" t="n"/>
      <c r="H136" s="129" t="n"/>
      <c r="I136" s="129" t="n"/>
      <c r="J136" s="130" t="n"/>
      <c r="K136" s="130" t="n"/>
      <c r="L136" s="100" t="n"/>
      <c r="M136" s="1">
        <f>IF(N136&gt;0,ROUND(N136/$M$10,0),0)</f>
        <v/>
      </c>
      <c r="N136" s="1">
        <f>(G136*D136)</f>
        <v/>
      </c>
      <c r="O136" s="7">
        <f>(N136*$O$10)</f>
        <v/>
      </c>
      <c r="P136" s="1">
        <f>(H136*D136)</f>
        <v/>
      </c>
      <c r="Q136" s="1">
        <f>(I136*D136)</f>
        <v/>
      </c>
      <c r="R136" s="1">
        <f>(J136*D136)</f>
        <v/>
      </c>
      <c r="S136" s="7">
        <f>(K136*D136)</f>
        <v/>
      </c>
      <c r="T136" s="12">
        <f>SUM(N136:S136)</f>
        <v/>
      </c>
      <c r="U136" s="1" t="n"/>
      <c r="V136" s="1" t="n"/>
    </row>
    <row r="137" ht="12" customHeight="1" s="195">
      <c r="A137" s="173" t="n">
        <v>9250</v>
      </c>
      <c r="B137" s="185" t="inlineStr">
        <is>
          <t>DRYWALL - GYPSUM BOARD</t>
        </is>
      </c>
      <c r="C137" s="186" t="n"/>
      <c r="D137" s="127" t="n">
        <v>1</v>
      </c>
      <c r="E137" s="128" t="inlineStr">
        <is>
          <t>SUB</t>
        </is>
      </c>
      <c r="F137" s="128" t="n"/>
      <c r="G137" s="129" t="n"/>
      <c r="H137" s="129" t="n"/>
      <c r="I137" s="129" t="n"/>
      <c r="J137" s="130" t="n"/>
      <c r="K137" s="130" t="n"/>
      <c r="L137" s="100" t="n"/>
      <c r="M137" s="1">
        <f>IF(N137&gt;0,ROUND(N137/$M$10,0),0)</f>
        <v/>
      </c>
      <c r="N137" s="1">
        <f>(G137*D137)</f>
        <v/>
      </c>
      <c r="O137" s="7">
        <f>(N137*$O$10)</f>
        <v/>
      </c>
      <c r="P137" s="1">
        <f>(H137*D137)</f>
        <v/>
      </c>
      <c r="Q137" s="1">
        <f>(I137*D137)</f>
        <v/>
      </c>
      <c r="R137" s="1">
        <f>(J137*D137)</f>
        <v/>
      </c>
      <c r="S137" s="7">
        <f>(K137*D137)</f>
        <v/>
      </c>
      <c r="T137" s="12">
        <f>SUM(N137:S137)</f>
        <v/>
      </c>
      <c r="U137" s="1" t="n"/>
      <c r="V137" s="1" t="n"/>
    </row>
    <row r="138" ht="12" customHeight="1" s="195">
      <c r="A138" s="173" t="n">
        <v>9250</v>
      </c>
      <c r="B138" s="185" t="inlineStr">
        <is>
          <t>DRYWALL - GYPSUM BOARD</t>
        </is>
      </c>
      <c r="C138" s="186" t="n"/>
      <c r="D138" s="127" t="n">
        <v>1</v>
      </c>
      <c r="E138" s="128" t="inlineStr">
        <is>
          <t>SUB</t>
        </is>
      </c>
      <c r="F138" s="128" t="n"/>
      <c r="G138" s="129" t="n"/>
      <c r="H138" s="129" t="n"/>
      <c r="I138" s="129" t="n"/>
      <c r="J138" s="130" t="n"/>
      <c r="K138" s="130" t="n"/>
      <c r="L138" s="100" t="n"/>
      <c r="M138" s="1">
        <f>IF(N138&gt;0,ROUND(N138/$M$10,0),0)</f>
        <v/>
      </c>
      <c r="N138" s="1">
        <f>(G138*D138)</f>
        <v/>
      </c>
      <c r="O138" s="7">
        <f>(N138*$O$10)</f>
        <v/>
      </c>
      <c r="P138" s="1">
        <f>(H138*D138)</f>
        <v/>
      </c>
      <c r="Q138" s="1">
        <f>(I138*D138)</f>
        <v/>
      </c>
      <c r="R138" s="1">
        <f>(J138*D138)</f>
        <v/>
      </c>
      <c r="S138" s="7">
        <f>(K138*D138)</f>
        <v/>
      </c>
      <c r="T138" s="12">
        <f>SUM(N138:S138)</f>
        <v/>
      </c>
      <c r="U138" s="1" t="n"/>
      <c r="V138" s="1" t="n"/>
    </row>
    <row r="139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1" t="n"/>
      <c r="N139" s="1" t="n"/>
      <c r="O139" s="7" t="n"/>
      <c r="P139" s="1" t="n"/>
      <c r="Q139" s="1" t="n"/>
      <c r="R139" s="7" t="n"/>
      <c r="S139" s="7" t="n"/>
      <c r="T139" s="12" t="n"/>
      <c r="U139" s="1" t="n"/>
      <c r="V139" s="1" t="n"/>
    </row>
    <row r="140" ht="10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3">
        <f>SUM(M130:M139)</f>
        <v/>
      </c>
      <c r="N140" s="93">
        <f>SUM(N130:N139)</f>
        <v/>
      </c>
      <c r="O140" s="95">
        <f>SUM(O130:O139)</f>
        <v/>
      </c>
      <c r="P140" s="93">
        <f>SUM(P130:P139)</f>
        <v/>
      </c>
      <c r="Q140" s="93">
        <f>SUM(Q130:Q139)</f>
        <v/>
      </c>
      <c r="R140" s="95">
        <f>SUM(R130:R139)</f>
        <v/>
      </c>
      <c r="S140" s="95">
        <f>SUM(S130:S139)</f>
        <v/>
      </c>
      <c r="T140" s="98">
        <f>SUM(T130:T139)</f>
        <v/>
      </c>
      <c r="U140" s="203" t="n">
        <v>0</v>
      </c>
      <c r="V140" s="203" t="n">
        <v>0</v>
      </c>
    </row>
    <row r="141" ht="10" customHeight="1" s="195">
      <c r="A141" s="109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" t="n"/>
      <c r="N141" s="1" t="n"/>
      <c r="O141" s="7" t="n"/>
      <c r="P141" s="1" t="n"/>
      <c r="Q141" s="1" t="n"/>
      <c r="R141" s="7" t="n"/>
      <c r="S141" s="7" t="n"/>
      <c r="T141" s="12" t="n"/>
      <c r="U141" s="1" t="n"/>
      <c r="V141" s="1" t="n"/>
    </row>
    <row r="142" ht="12" customHeight="1" s="195">
      <c r="A142" s="126" t="n">
        <v>9500</v>
      </c>
      <c r="B142" s="185" t="inlineStr">
        <is>
          <t>ACOUSTICAL CEILINGS</t>
        </is>
      </c>
      <c r="C142" s="186" t="n"/>
      <c r="D142" s="127" t="n">
        <v>1</v>
      </c>
      <c r="E142" s="128" t="inlineStr">
        <is>
          <t>SUB</t>
        </is>
      </c>
      <c r="F142" s="128" t="n"/>
      <c r="G142" s="129" t="n"/>
      <c r="H142" s="129" t="n"/>
      <c r="I142" s="205" t="n">
        <v>81000</v>
      </c>
      <c r="J142" s="130" t="n"/>
      <c r="K142" s="130" t="n"/>
      <c r="L142" s="100" t="n"/>
      <c r="M142" s="1">
        <f>IF(N142&gt;0,ROUND(N142/$M$10,0),0)</f>
        <v/>
      </c>
      <c r="N142" s="1">
        <f>(G142*D142)</f>
        <v/>
      </c>
      <c r="O142" s="7">
        <f>(N142*$O$10)</f>
        <v/>
      </c>
      <c r="P142" s="1">
        <f>(H142*D142)</f>
        <v/>
      </c>
      <c r="Q142" s="1">
        <f>(I142*D142)</f>
        <v/>
      </c>
      <c r="R142" s="1">
        <f>(J142*D142)</f>
        <v/>
      </c>
      <c r="S142" s="7">
        <f>(K142*D142)</f>
        <v/>
      </c>
      <c r="T142" s="12">
        <f>SUM(N142:S142)</f>
        <v/>
      </c>
      <c r="U142" s="1" t="n"/>
      <c r="V142" s="1" t="n"/>
    </row>
    <row r="143" ht="12" customHeight="1" s="195">
      <c r="A143" s="126" t="n">
        <v>9500</v>
      </c>
      <c r="B143" s="185" t="inlineStr">
        <is>
          <t>ACOUSTICAL CEILINGS</t>
        </is>
      </c>
      <c r="C143" s="186" t="n"/>
      <c r="D143" s="127" t="n">
        <v>1</v>
      </c>
      <c r="E143" s="128" t="inlineStr">
        <is>
          <t>SUB</t>
        </is>
      </c>
      <c r="F143" s="128" t="n"/>
      <c r="G143" s="129" t="n"/>
      <c r="H143" s="129" t="n"/>
      <c r="I143" s="129" t="n"/>
      <c r="J143" s="130" t="n"/>
      <c r="K143" s="130" t="n"/>
      <c r="L143" s="100" t="n"/>
      <c r="M143" s="1">
        <f>IF(N143&gt;0,ROUND(N143/$M$10,0),0)</f>
        <v/>
      </c>
      <c r="N143" s="1">
        <f>(G143*D143)</f>
        <v/>
      </c>
      <c r="O143" s="7">
        <f>(N143*$O$10)</f>
        <v/>
      </c>
      <c r="P143" s="1">
        <f>(H143*D143)</f>
        <v/>
      </c>
      <c r="Q143" s="1">
        <f>(I143*D143)</f>
        <v/>
      </c>
      <c r="R143" s="1">
        <f>(J143*D143)</f>
        <v/>
      </c>
      <c r="S143" s="7">
        <f>(K143*D143)</f>
        <v/>
      </c>
      <c r="T143" s="12">
        <f>SUM(N143:S143)</f>
        <v/>
      </c>
      <c r="U143" s="1" t="n"/>
      <c r="V143" s="1" t="n"/>
    </row>
    <row r="144" ht="12" customHeight="1" s="195">
      <c r="A144" s="126" t="n">
        <v>9500</v>
      </c>
      <c r="B144" s="185" t="inlineStr">
        <is>
          <t>ACOUSTICAL CEILINGS</t>
        </is>
      </c>
      <c r="C144" s="186" t="n"/>
      <c r="D144" s="127" t="n">
        <v>1</v>
      </c>
      <c r="E144" s="128" t="inlineStr">
        <is>
          <t>SUB</t>
        </is>
      </c>
      <c r="F144" s="128" t="n"/>
      <c r="G144" s="129" t="n"/>
      <c r="H144" s="129" t="n"/>
      <c r="I144" s="129" t="n"/>
      <c r="J144" s="130" t="n"/>
      <c r="K144" s="130" t="n"/>
      <c r="L144" s="100" t="n"/>
      <c r="M144" s="1">
        <f>IF(N144&gt;0,ROUND(N144/$M$10,0),0)</f>
        <v/>
      </c>
      <c r="N144" s="1">
        <f>(G144*D144)</f>
        <v/>
      </c>
      <c r="O144" s="7">
        <f>(N144*$O$10)</f>
        <v/>
      </c>
      <c r="P144" s="1">
        <f>(H144*D144)</f>
        <v/>
      </c>
      <c r="Q144" s="1">
        <f>(I144*D144)</f>
        <v/>
      </c>
      <c r="R144" s="1">
        <f>(J144*D144)</f>
        <v/>
      </c>
      <c r="S144" s="7">
        <f>(K144*D144)</f>
        <v/>
      </c>
      <c r="T144" s="12">
        <f>SUM(N144:S144)</f>
        <v/>
      </c>
      <c r="U144" s="1" t="n"/>
      <c r="V144" s="1" t="n"/>
    </row>
    <row r="145" ht="12" customHeight="1" s="195">
      <c r="A145" s="126" t="n">
        <v>9500</v>
      </c>
      <c r="B145" s="185" t="inlineStr">
        <is>
          <t>ACOUSTICAL CEILINGS</t>
        </is>
      </c>
      <c r="C145" s="186" t="n"/>
      <c r="D145" s="127" t="n">
        <v>1</v>
      </c>
      <c r="E145" s="128" t="inlineStr">
        <is>
          <t>SUB</t>
        </is>
      </c>
      <c r="F145" s="128" t="n"/>
      <c r="G145" s="129" t="n"/>
      <c r="H145" s="129" t="n"/>
      <c r="I145" s="129" t="n"/>
      <c r="J145" s="130" t="n"/>
      <c r="K145" s="130" t="n"/>
      <c r="L145" s="100" t="n"/>
      <c r="M145" s="1">
        <f>IF(N145&gt;0,ROUND(N145/$M$10,0),0)</f>
        <v/>
      </c>
      <c r="N145" s="1">
        <f>(G145*D145)</f>
        <v/>
      </c>
      <c r="O145" s="7">
        <f>(N145*$O$10)</f>
        <v/>
      </c>
      <c r="P145" s="1">
        <f>(H145*D145)</f>
        <v/>
      </c>
      <c r="Q145" s="1">
        <f>(I145*D145)</f>
        <v/>
      </c>
      <c r="R145" s="1">
        <f>(J145*D145)</f>
        <v/>
      </c>
      <c r="S145" s="7">
        <f>(K145*D145)</f>
        <v/>
      </c>
      <c r="T145" s="12">
        <f>SUM(N145:S145)</f>
        <v/>
      </c>
      <c r="U145" s="1" t="n"/>
      <c r="V145" s="1" t="n"/>
    </row>
    <row r="146" ht="12" customHeight="1" s="195">
      <c r="A146" s="126" t="n">
        <v>9500</v>
      </c>
      <c r="B146" s="185" t="inlineStr">
        <is>
          <t>ACOUSTICAL CEILINGS</t>
        </is>
      </c>
      <c r="C146" s="186" t="n"/>
      <c r="D146" s="127" t="n">
        <v>1</v>
      </c>
      <c r="E146" s="128" t="inlineStr">
        <is>
          <t>SUB</t>
        </is>
      </c>
      <c r="F146" s="128" t="n"/>
      <c r="G146" s="129" t="n"/>
      <c r="H146" s="129" t="n"/>
      <c r="I146" s="129" t="n"/>
      <c r="J146" s="130" t="n"/>
      <c r="K146" s="130" t="n"/>
      <c r="L146" s="100" t="n"/>
      <c r="M146" s="1">
        <f>IF(N146&gt;0,ROUND(N146/$M$10,0),0)</f>
        <v/>
      </c>
      <c r="N146" s="1">
        <f>(G146*D146)</f>
        <v/>
      </c>
      <c r="O146" s="7">
        <f>(N146*$O$10)</f>
        <v/>
      </c>
      <c r="P146" s="1">
        <f>(H146*D146)</f>
        <v/>
      </c>
      <c r="Q146" s="1">
        <f>(I146*D146)</f>
        <v/>
      </c>
      <c r="R146" s="1">
        <f>(J146*D146)</f>
        <v/>
      </c>
      <c r="S146" s="7">
        <f>(K146*D146)</f>
        <v/>
      </c>
      <c r="T146" s="12">
        <f>SUM(N146:S146)</f>
        <v/>
      </c>
      <c r="U146" s="1" t="n"/>
      <c r="V146" s="1" t="n"/>
    </row>
    <row r="147" ht="12" customHeight="1" s="195">
      <c r="A147" s="126" t="n">
        <v>9500</v>
      </c>
      <c r="B147" s="185" t="inlineStr">
        <is>
          <t>ACOUSTICAL CEILINGS</t>
        </is>
      </c>
      <c r="C147" s="186" t="n"/>
      <c r="D147" s="127" t="n">
        <v>1</v>
      </c>
      <c r="E147" s="128" t="inlineStr">
        <is>
          <t>SUB</t>
        </is>
      </c>
      <c r="F147" s="128" t="n"/>
      <c r="G147" s="129" t="n"/>
      <c r="H147" s="129" t="n"/>
      <c r="I147" s="129" t="n"/>
      <c r="J147" s="130" t="n"/>
      <c r="K147" s="130" t="n"/>
      <c r="L147" s="100" t="n"/>
      <c r="M147" s="1">
        <f>IF(N147&gt;0,ROUND(N147/$M$10,0),0)</f>
        <v/>
      </c>
      <c r="N147" s="1">
        <f>(G147*D147)</f>
        <v/>
      </c>
      <c r="O147" s="7">
        <f>(N147*$O$10)</f>
        <v/>
      </c>
      <c r="P147" s="1">
        <f>(H147*D147)</f>
        <v/>
      </c>
      <c r="Q147" s="1">
        <f>(I147*D147)</f>
        <v/>
      </c>
      <c r="R147" s="1">
        <f>(J147*D147)</f>
        <v/>
      </c>
      <c r="S147" s="7">
        <f>(K147*D147)</f>
        <v/>
      </c>
      <c r="T147" s="12">
        <f>SUM(N147:S147)</f>
        <v/>
      </c>
      <c r="U147" s="1" t="n"/>
      <c r="V147" s="1" t="n"/>
    </row>
    <row r="148" ht="5" customHeight="1" s="195">
      <c r="A148" s="126" t="n"/>
      <c r="B148" s="127" t="n"/>
      <c r="C148" s="127" t="n"/>
      <c r="D148" s="127" t="n"/>
      <c r="E148" s="128" t="n"/>
      <c r="F148" s="128" t="n"/>
      <c r="G148" s="129" t="n"/>
      <c r="H148" s="129" t="n"/>
      <c r="I148" s="129" t="n"/>
      <c r="J148" s="129" t="n"/>
      <c r="K148" s="129" t="n"/>
      <c r="L148" s="91" t="n"/>
      <c r="M148" s="1" t="n"/>
      <c r="N148" s="1" t="n"/>
      <c r="O148" s="7" t="n"/>
      <c r="P148" s="1" t="n"/>
      <c r="Q148" s="1" t="n"/>
      <c r="R148" s="7" t="n"/>
      <c r="S148" s="7" t="n"/>
      <c r="T148" s="12" t="n"/>
      <c r="U148" s="1" t="n"/>
      <c r="V148" s="1" t="n"/>
    </row>
    <row r="149" ht="10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3">
        <f>SUM(M141:M148)</f>
        <v/>
      </c>
      <c r="N149" s="93">
        <f>SUM(N141:N148)</f>
        <v/>
      </c>
      <c r="O149" s="95">
        <f>SUM(O141:O148)</f>
        <v/>
      </c>
      <c r="P149" s="93">
        <f>SUM(P141:P148)</f>
        <v/>
      </c>
      <c r="Q149" s="93">
        <f>SUM(Q141:Q148)</f>
        <v/>
      </c>
      <c r="R149" s="95">
        <f>SUM(R141:R148)</f>
        <v/>
      </c>
      <c r="S149" s="95">
        <f>SUM(S141:S148)</f>
        <v/>
      </c>
      <c r="T149" s="98">
        <f>SUM(T141:T148)</f>
        <v/>
      </c>
      <c r="U149" s="203" t="n">
        <v>0</v>
      </c>
      <c r="V149" s="203" t="n">
        <v>0</v>
      </c>
    </row>
    <row r="150" ht="10" customHeight="1" s="195">
      <c r="A150" s="109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1" t="n"/>
      <c r="N150" s="1" t="n"/>
      <c r="O150" s="7" t="n"/>
      <c r="P150" s="1" t="n"/>
      <c r="Q150" s="1" t="n"/>
      <c r="R150" s="7" t="n"/>
      <c r="S150" s="7" t="n"/>
      <c r="T150" s="12" t="n"/>
      <c r="U150" s="1" t="n"/>
      <c r="V150" s="1" t="n"/>
    </row>
    <row r="151" ht="12" customHeight="1" s="195">
      <c r="A151" s="126" t="n">
        <v>9600</v>
      </c>
      <c r="B151" s="185" t="inlineStr">
        <is>
          <t xml:space="preserve">FLOORING </t>
        </is>
      </c>
      <c r="C151" s="186" t="n"/>
      <c r="D151" s="127" t="n">
        <v>1</v>
      </c>
      <c r="E151" s="128" t="inlineStr">
        <is>
          <t>SUB</t>
        </is>
      </c>
      <c r="F151" s="128" t="n"/>
      <c r="G151" s="129" t="n"/>
      <c r="H151" s="129" t="n"/>
      <c r="I151" s="205" t="n">
        <v>125000</v>
      </c>
      <c r="J151" s="130" t="n"/>
      <c r="K151" s="130" t="n"/>
      <c r="L151" s="100" t="n"/>
      <c r="M151" s="1">
        <f>IF(N151&gt;0,ROUND(N151/$M$10,0),0)</f>
        <v/>
      </c>
      <c r="N151" s="1">
        <f>(G151*D151)</f>
        <v/>
      </c>
      <c r="O151" s="7">
        <f>(N151*$O$10)</f>
        <v/>
      </c>
      <c r="P151" s="1">
        <f>(H151*D151)</f>
        <v/>
      </c>
      <c r="Q151" s="1">
        <f>(I151*D151)</f>
        <v/>
      </c>
      <c r="R151" s="1">
        <f>(J151*D151)</f>
        <v/>
      </c>
      <c r="S151" s="7">
        <f>(K151*D151)</f>
        <v/>
      </c>
      <c r="T151" s="12">
        <f>SUM(N151:S151)</f>
        <v/>
      </c>
      <c r="U151" s="1" t="n"/>
      <c r="V151" s="1" t="n"/>
    </row>
    <row r="152" ht="12" customHeight="1" s="195">
      <c r="A152" s="126" t="n">
        <v>9600</v>
      </c>
      <c r="B152" s="185" t="inlineStr">
        <is>
          <t xml:space="preserve">FLOORING </t>
        </is>
      </c>
      <c r="C152" s="186" t="n"/>
      <c r="D152" s="127" t="n">
        <v>1</v>
      </c>
      <c r="E152" s="128" t="inlineStr">
        <is>
          <t>SUB</t>
        </is>
      </c>
      <c r="F152" s="128" t="n"/>
      <c r="G152" s="129" t="n"/>
      <c r="H152" s="129" t="n"/>
      <c r="I152" s="129" t="n"/>
      <c r="J152" s="130" t="n"/>
      <c r="K152" s="130" t="n"/>
      <c r="L152" s="100" t="n"/>
      <c r="M152" s="1">
        <f>IF(N152&gt;0,ROUND(N152/$M$10,0),0)</f>
        <v/>
      </c>
      <c r="N152" s="1">
        <f>(G152*D152)</f>
        <v/>
      </c>
      <c r="O152" s="7">
        <f>(N152*$O$10)</f>
        <v/>
      </c>
      <c r="P152" s="1">
        <f>(H152*D152)</f>
        <v/>
      </c>
      <c r="Q152" s="1">
        <f>(I152*D152)</f>
        <v/>
      </c>
      <c r="R152" s="1">
        <f>(J152*D152)</f>
        <v/>
      </c>
      <c r="S152" s="7">
        <f>(K152*D152)</f>
        <v/>
      </c>
      <c r="T152" s="12">
        <f>SUM(N152:S152)</f>
        <v/>
      </c>
      <c r="U152" s="1" t="n"/>
      <c r="V152" s="1" t="n"/>
    </row>
    <row r="153" ht="12" customHeight="1" s="195">
      <c r="A153" s="126" t="n">
        <v>9600</v>
      </c>
      <c r="B153" s="185" t="inlineStr">
        <is>
          <t xml:space="preserve">FLOORING </t>
        </is>
      </c>
      <c r="C153" s="186" t="n"/>
      <c r="D153" s="127" t="n">
        <v>1</v>
      </c>
      <c r="E153" s="128" t="inlineStr">
        <is>
          <t>SUB</t>
        </is>
      </c>
      <c r="F153" s="128" t="n"/>
      <c r="G153" s="129" t="n"/>
      <c r="H153" s="129" t="n"/>
      <c r="I153" s="129" t="n"/>
      <c r="J153" s="130" t="n"/>
      <c r="K153" s="130" t="n"/>
      <c r="L153" s="100" t="n"/>
      <c r="M153" s="1">
        <f>IF(N153&gt;0,ROUND(N153/$M$10,0),0)</f>
        <v/>
      </c>
      <c r="N153" s="1">
        <f>(G153*D153)</f>
        <v/>
      </c>
      <c r="O153" s="7">
        <f>(N153*$O$10)</f>
        <v/>
      </c>
      <c r="P153" s="1">
        <f>(H153*D153)</f>
        <v/>
      </c>
      <c r="Q153" s="1">
        <f>(I153*D153)</f>
        <v/>
      </c>
      <c r="R153" s="1">
        <f>(J153*D153)</f>
        <v/>
      </c>
      <c r="S153" s="7">
        <f>(K153*D153)</f>
        <v/>
      </c>
      <c r="T153" s="12">
        <f>SUM(N153:S153)</f>
        <v/>
      </c>
      <c r="U153" s="1" t="n"/>
      <c r="V153" s="1" t="n"/>
    </row>
    <row r="154" ht="12" customHeight="1" s="195">
      <c r="A154" s="126" t="n">
        <v>9600</v>
      </c>
      <c r="B154" s="185" t="inlineStr">
        <is>
          <t xml:space="preserve">FLOORING </t>
        </is>
      </c>
      <c r="C154" s="186" t="n"/>
      <c r="D154" s="127" t="n">
        <v>1</v>
      </c>
      <c r="E154" s="128" t="inlineStr">
        <is>
          <t>SUB</t>
        </is>
      </c>
      <c r="F154" s="128" t="n"/>
      <c r="G154" s="129" t="n"/>
      <c r="H154" s="129" t="n"/>
      <c r="I154" s="129" t="n"/>
      <c r="J154" s="130" t="n"/>
      <c r="K154" s="130" t="n"/>
      <c r="L154" s="100" t="n"/>
      <c r="M154" s="1">
        <f>IF(N154&gt;0,ROUND(N154/$M$10,0),0)</f>
        <v/>
      </c>
      <c r="N154" s="1">
        <f>(G154*D154)</f>
        <v/>
      </c>
      <c r="O154" s="7">
        <f>(N154*$O$10)</f>
        <v/>
      </c>
      <c r="P154" s="1">
        <f>(H154*D154)</f>
        <v/>
      </c>
      <c r="Q154" s="1">
        <f>(I154*D154)</f>
        <v/>
      </c>
      <c r="R154" s="1">
        <f>(J154*D154)</f>
        <v/>
      </c>
      <c r="S154" s="7">
        <f>(K154*D154)</f>
        <v/>
      </c>
      <c r="T154" s="12">
        <f>SUM(N154:S154)</f>
        <v/>
      </c>
      <c r="U154" s="1" t="n"/>
      <c r="V154" s="1" t="n"/>
    </row>
    <row r="155" ht="12" customHeight="1" s="195">
      <c r="A155" s="126" t="n">
        <v>9600</v>
      </c>
      <c r="B155" s="185" t="inlineStr">
        <is>
          <t xml:space="preserve">FLOORING </t>
        </is>
      </c>
      <c r="C155" s="186" t="n"/>
      <c r="D155" s="127" t="n">
        <v>1</v>
      </c>
      <c r="E155" s="128" t="inlineStr">
        <is>
          <t>SUB</t>
        </is>
      </c>
      <c r="F155" s="128" t="n"/>
      <c r="G155" s="129" t="n"/>
      <c r="H155" s="129" t="n"/>
      <c r="I155" s="129" t="n"/>
      <c r="J155" s="130" t="n"/>
      <c r="K155" s="130" t="n"/>
      <c r="L155" s="100" t="n"/>
      <c r="M155" s="1">
        <f>IF(N155&gt;0,ROUND(N155/$M$10,0),0)</f>
        <v/>
      </c>
      <c r="N155" s="1">
        <f>(G155*D155)</f>
        <v/>
      </c>
      <c r="O155" s="7">
        <f>(N155*$O$10)</f>
        <v/>
      </c>
      <c r="P155" s="1">
        <f>(H155*D155)</f>
        <v/>
      </c>
      <c r="Q155" s="1">
        <f>(I155*D155)</f>
        <v/>
      </c>
      <c r="R155" s="1">
        <f>(J155*D155)</f>
        <v/>
      </c>
      <c r="S155" s="7">
        <f>(K155*D155)</f>
        <v/>
      </c>
      <c r="T155" s="12">
        <f>SUM(N155:S155)</f>
        <v/>
      </c>
      <c r="U155" s="1" t="n"/>
      <c r="V155" s="1" t="n"/>
    </row>
    <row r="156" ht="12" customHeight="1" s="195">
      <c r="A156" s="126" t="n">
        <v>9600</v>
      </c>
      <c r="B156" s="185" t="inlineStr">
        <is>
          <t xml:space="preserve">FLOORING </t>
        </is>
      </c>
      <c r="C156" s="186" t="n"/>
      <c r="D156" s="127" t="n">
        <v>1</v>
      </c>
      <c r="E156" s="128" t="inlineStr">
        <is>
          <t>SUB</t>
        </is>
      </c>
      <c r="F156" s="128" t="n"/>
      <c r="G156" s="129" t="n"/>
      <c r="H156" s="129" t="n"/>
      <c r="I156" s="129" t="n"/>
      <c r="J156" s="130" t="n"/>
      <c r="K156" s="130" t="n"/>
      <c r="L156" s="100" t="n"/>
      <c r="M156" s="1">
        <f>IF(N156&gt;0,ROUND(N156/$M$10,0),0)</f>
        <v/>
      </c>
      <c r="N156" s="1">
        <f>(G156*D156)</f>
        <v/>
      </c>
      <c r="O156" s="7">
        <f>(N156*$O$10)</f>
        <v/>
      </c>
      <c r="P156" s="1">
        <f>(H156*D156)</f>
        <v/>
      </c>
      <c r="Q156" s="1">
        <f>(I156*D156)</f>
        <v/>
      </c>
      <c r="R156" s="1">
        <f>(J156*D156)</f>
        <v/>
      </c>
      <c r="S156" s="7">
        <f>(K156*D156)</f>
        <v/>
      </c>
      <c r="T156" s="12">
        <f>SUM(N156:S156)</f>
        <v/>
      </c>
      <c r="U156" s="1" t="n"/>
      <c r="V156" s="1" t="n"/>
    </row>
    <row r="157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1" t="n"/>
      <c r="N157" s="1" t="n"/>
      <c r="O157" s="7" t="n"/>
      <c r="P157" s="1" t="n"/>
      <c r="Q157" s="1" t="n"/>
      <c r="R157" s="7" t="n"/>
      <c r="S157" s="7" t="n"/>
      <c r="T157" s="12" t="n"/>
      <c r="U157" s="1" t="n"/>
      <c r="V157" s="1" t="n"/>
    </row>
    <row r="158" ht="10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3">
        <f>SUM(M150:M157)</f>
        <v/>
      </c>
      <c r="N158" s="93">
        <f>SUM(N150:N157)</f>
        <v/>
      </c>
      <c r="O158" s="95">
        <f>SUM(O150:O157)</f>
        <v/>
      </c>
      <c r="P158" s="93">
        <f>SUM(P150:P157)</f>
        <v/>
      </c>
      <c r="Q158" s="93">
        <f>SUM(Q150:Q157)</f>
        <v/>
      </c>
      <c r="R158" s="95">
        <f>SUM(R150:R157)</f>
        <v/>
      </c>
      <c r="S158" s="95">
        <f>SUM(S150:S157)</f>
        <v/>
      </c>
      <c r="T158" s="98">
        <f>SUM(T150:T157)</f>
        <v/>
      </c>
      <c r="U158" s="203" t="n">
        <v>0</v>
      </c>
      <c r="V158" s="203" t="n">
        <v>0</v>
      </c>
    </row>
    <row r="159" ht="10" customHeight="1" s="195">
      <c r="A159" s="109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1" t="n"/>
      <c r="N159" s="1" t="n"/>
      <c r="O159" s="7" t="n"/>
      <c r="P159" s="1" t="n"/>
      <c r="Q159" s="1" t="n"/>
      <c r="R159" s="7" t="n"/>
      <c r="S159" s="7" t="n"/>
      <c r="T159" s="12" t="n"/>
      <c r="U159" s="1" t="n"/>
      <c r="V159" s="1" t="n"/>
    </row>
    <row r="160" ht="12" customHeight="1" s="195">
      <c r="A160" s="126" t="n">
        <v>9900</v>
      </c>
      <c r="B160" s="185" t="inlineStr">
        <is>
          <t>PAINT - INTERIOR</t>
        </is>
      </c>
      <c r="C160" s="186" t="n"/>
      <c r="D160" s="127" t="n">
        <v>1</v>
      </c>
      <c r="E160" s="128" t="inlineStr">
        <is>
          <t>SUB</t>
        </is>
      </c>
      <c r="F160" s="128" t="n"/>
      <c r="G160" s="129" t="n"/>
      <c r="H160" s="129" t="n"/>
      <c r="I160" s="205" t="n">
        <v>62000</v>
      </c>
      <c r="J160" s="130" t="n"/>
      <c r="K160" s="130" t="n"/>
      <c r="L160" s="100" t="n"/>
      <c r="M160" s="1">
        <f>IF(N160&gt;0,ROUND(N160/$M$10,0),0)</f>
        <v/>
      </c>
      <c r="N160" s="1">
        <f>(G160*D160)</f>
        <v/>
      </c>
      <c r="O160" s="7">
        <f>(N160*$O$10)</f>
        <v/>
      </c>
      <c r="P160" s="1">
        <f>(H160*D160)</f>
        <v/>
      </c>
      <c r="Q160" s="1">
        <f>(I160*D160)</f>
        <v/>
      </c>
      <c r="R160" s="1">
        <f>(J160*D160)</f>
        <v/>
      </c>
      <c r="S160" s="7">
        <f>(K160*D160)</f>
        <v/>
      </c>
      <c r="T160" s="12">
        <f>SUM(N160:S160)</f>
        <v/>
      </c>
      <c r="U160" s="1" t="n"/>
      <c r="V160" s="1" t="n"/>
    </row>
    <row r="161" ht="12" customHeight="1" s="195">
      <c r="A161" s="126" t="n">
        <v>9900</v>
      </c>
      <c r="B161" s="185" t="inlineStr">
        <is>
          <t>PAINT - INTERIOR</t>
        </is>
      </c>
      <c r="C161" s="186" t="n"/>
      <c r="D161" s="127" t="n">
        <v>1</v>
      </c>
      <c r="E161" s="128" t="inlineStr">
        <is>
          <t>SUB</t>
        </is>
      </c>
      <c r="F161" s="128" t="n"/>
      <c r="G161" s="129" t="n"/>
      <c r="H161" s="129" t="n"/>
      <c r="I161" s="129" t="n"/>
      <c r="J161" s="130" t="n"/>
      <c r="K161" s="130" t="n"/>
      <c r="L161" s="100" t="n"/>
      <c r="M161" s="1">
        <f>IF(N161&gt;0,ROUND(N161/$M$10,0),0)</f>
        <v/>
      </c>
      <c r="N161" s="1">
        <f>(G161*D161)</f>
        <v/>
      </c>
      <c r="O161" s="7">
        <f>(N161*$O$10)</f>
        <v/>
      </c>
      <c r="P161" s="1">
        <f>(H161*D161)</f>
        <v/>
      </c>
      <c r="Q161" s="1">
        <f>(I161*D161)</f>
        <v/>
      </c>
      <c r="R161" s="1">
        <f>(J161*D161)</f>
        <v/>
      </c>
      <c r="S161" s="7">
        <f>(K161*D161)</f>
        <v/>
      </c>
      <c r="T161" s="12">
        <f>SUM(N161:S161)</f>
        <v/>
      </c>
      <c r="U161" s="1" t="n"/>
      <c r="V161" s="1" t="n"/>
    </row>
    <row r="162" ht="12" customHeight="1" s="195">
      <c r="A162" s="126" t="n">
        <v>9900</v>
      </c>
      <c r="B162" s="185" t="inlineStr">
        <is>
          <t>PAINT - INTERIOR</t>
        </is>
      </c>
      <c r="C162" s="186" t="n"/>
      <c r="D162" s="127" t="n">
        <v>1</v>
      </c>
      <c r="E162" s="128" t="inlineStr">
        <is>
          <t>SUB</t>
        </is>
      </c>
      <c r="F162" s="128" t="n"/>
      <c r="G162" s="129" t="n"/>
      <c r="H162" s="129" t="n"/>
      <c r="I162" s="129" t="n"/>
      <c r="J162" s="130" t="n"/>
      <c r="K162" s="130" t="n"/>
      <c r="L162" s="100" t="n"/>
      <c r="M162" s="1">
        <f>IF(N162&gt;0,ROUND(N162/$M$10,0),0)</f>
        <v/>
      </c>
      <c r="N162" s="1">
        <f>(G162*D162)</f>
        <v/>
      </c>
      <c r="O162" s="7">
        <f>(N162*$O$10)</f>
        <v/>
      </c>
      <c r="P162" s="1">
        <f>(H162*D162)</f>
        <v/>
      </c>
      <c r="Q162" s="1">
        <f>(I162*D162)</f>
        <v/>
      </c>
      <c r="R162" s="1">
        <f>(J162*D162)</f>
        <v/>
      </c>
      <c r="S162" s="7">
        <f>(K162*D162)</f>
        <v/>
      </c>
      <c r="T162" s="12">
        <f>SUM(N162:S162)</f>
        <v/>
      </c>
      <c r="U162" s="1" t="n"/>
      <c r="V162" s="1" t="n"/>
    </row>
    <row r="163" ht="12" customHeight="1" s="195">
      <c r="A163" s="126" t="n">
        <v>9950</v>
      </c>
      <c r="B163" s="185" t="inlineStr">
        <is>
          <t>WALL COVERINGS</t>
        </is>
      </c>
      <c r="C163" s="186" t="n"/>
      <c r="D163" s="127" t="n">
        <v>1</v>
      </c>
      <c r="E163" s="128" t="inlineStr">
        <is>
          <t>SUB</t>
        </is>
      </c>
      <c r="F163" s="128" t="n"/>
      <c r="G163" s="129" t="n"/>
      <c r="H163" s="129" t="n"/>
      <c r="I163" s="205" t="n">
        <v>31000</v>
      </c>
      <c r="J163" s="130" t="n"/>
      <c r="K163" s="130" t="n"/>
      <c r="L163" s="100" t="n"/>
      <c r="M163" s="1">
        <f>IF(N163&gt;0,ROUND(N163/$M$10,0),0)</f>
        <v/>
      </c>
      <c r="N163" s="1">
        <f>(G163*D163)</f>
        <v/>
      </c>
      <c r="O163" s="7">
        <f>(N163*$O$10)</f>
        <v/>
      </c>
      <c r="P163" s="1">
        <f>(H163*D163)</f>
        <v/>
      </c>
      <c r="Q163" s="1">
        <f>(I163*D163)</f>
        <v/>
      </c>
      <c r="R163" s="1">
        <f>(J163*D163)</f>
        <v/>
      </c>
      <c r="S163" s="7">
        <f>(K163*D163)</f>
        <v/>
      </c>
      <c r="T163" s="12">
        <f>SUM(N163:S163)</f>
        <v/>
      </c>
      <c r="U163" s="1" t="n"/>
      <c r="V163" s="1" t="n"/>
    </row>
    <row r="164" ht="12" customHeight="1" s="195">
      <c r="A164" s="126" t="n">
        <v>9900</v>
      </c>
      <c r="B164" s="185" t="inlineStr">
        <is>
          <t>PAINT - INTERIOR</t>
        </is>
      </c>
      <c r="C164" s="186" t="n"/>
      <c r="D164" s="127" t="n">
        <v>1</v>
      </c>
      <c r="E164" s="128" t="inlineStr">
        <is>
          <t>SUB</t>
        </is>
      </c>
      <c r="F164" s="128" t="n"/>
      <c r="G164" s="129" t="n"/>
      <c r="H164" s="129" t="n"/>
      <c r="I164" s="129" t="n"/>
      <c r="J164" s="130" t="n"/>
      <c r="K164" s="130" t="n"/>
      <c r="L164" s="100" t="n"/>
      <c r="M164" s="1">
        <f>IF(N164&gt;0,ROUND(N164/$M$10,0),0)</f>
        <v/>
      </c>
      <c r="N164" s="1">
        <f>(G164*D164)</f>
        <v/>
      </c>
      <c r="O164" s="7">
        <f>(N164*$O$10)</f>
        <v/>
      </c>
      <c r="P164" s="1">
        <f>(H164*D164)</f>
        <v/>
      </c>
      <c r="Q164" s="1">
        <f>(I164*D164)</f>
        <v/>
      </c>
      <c r="R164" s="1">
        <f>(J164*D164)</f>
        <v/>
      </c>
      <c r="S164" s="7">
        <f>(K164*D164)</f>
        <v/>
      </c>
      <c r="T164" s="12">
        <f>SUM(N164:S164)</f>
        <v/>
      </c>
      <c r="U164" s="1" t="n"/>
      <c r="V164" s="1" t="n"/>
    </row>
    <row r="165" ht="12" customHeight="1" s="195">
      <c r="A165" s="126" t="n">
        <v>9900</v>
      </c>
      <c r="B165" s="185" t="inlineStr">
        <is>
          <t>PAINT - INTERIOR</t>
        </is>
      </c>
      <c r="C165" s="186" t="n"/>
      <c r="D165" s="127" t="n">
        <v>1</v>
      </c>
      <c r="E165" s="128" t="inlineStr">
        <is>
          <t>SUB</t>
        </is>
      </c>
      <c r="F165" s="128" t="n"/>
      <c r="G165" s="129" t="n"/>
      <c r="H165" s="129" t="n"/>
      <c r="I165" s="129" t="n"/>
      <c r="J165" s="130" t="n"/>
      <c r="K165" s="130" t="n"/>
      <c r="L165" s="100" t="n"/>
      <c r="M165" s="1">
        <f>IF(N165&gt;0,ROUND(N165/$M$10,0),0)</f>
        <v/>
      </c>
      <c r="N165" s="1">
        <f>(G165*D165)</f>
        <v/>
      </c>
      <c r="O165" s="7">
        <f>(N165*$O$10)</f>
        <v/>
      </c>
      <c r="P165" s="1">
        <f>(H165*D165)</f>
        <v/>
      </c>
      <c r="Q165" s="1">
        <f>(I165*D165)</f>
        <v/>
      </c>
      <c r="R165" s="1">
        <f>(J165*D165)</f>
        <v/>
      </c>
      <c r="S165" s="7">
        <f>(K165*D165)</f>
        <v/>
      </c>
      <c r="T165" s="12">
        <f>SUM(N165:S165)</f>
        <v/>
      </c>
      <c r="U165" s="1" t="n"/>
      <c r="V165" s="1" t="n"/>
    </row>
    <row r="166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1" t="n"/>
      <c r="N166" s="1" t="n"/>
      <c r="O166" s="7" t="n"/>
      <c r="P166" s="1" t="n"/>
      <c r="Q166" s="1" t="n"/>
      <c r="R166" s="7" t="n"/>
      <c r="S166" s="7" t="n"/>
      <c r="T166" s="12" t="n"/>
      <c r="U166" s="1" t="n"/>
      <c r="V166" s="1" t="n"/>
    </row>
    <row r="167" ht="10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3">
        <f>SUM(M159:M166)</f>
        <v/>
      </c>
      <c r="N167" s="93">
        <f>SUM(N159:N166)</f>
        <v/>
      </c>
      <c r="O167" s="95">
        <f>SUM(O159:O166)</f>
        <v/>
      </c>
      <c r="P167" s="93">
        <f>SUM(P159:P166)</f>
        <v/>
      </c>
      <c r="Q167" s="93">
        <f>SUM(Q159:Q166)</f>
        <v/>
      </c>
      <c r="R167" s="95">
        <f>SUM(R159:R166)</f>
        <v/>
      </c>
      <c r="S167" s="95">
        <f>SUM(S159:S166)</f>
        <v/>
      </c>
      <c r="T167" s="98">
        <f>SUM(T159:T166)</f>
        <v/>
      </c>
      <c r="U167" s="203" t="n">
        <v>0</v>
      </c>
      <c r="V167" s="203" t="n">
        <v>0</v>
      </c>
    </row>
    <row r="168" ht="10" customHeight="1" s="195">
      <c r="A168" s="109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1" t="n"/>
      <c r="N168" s="1" t="n"/>
      <c r="O168" s="7" t="n"/>
      <c r="P168" s="1" t="n"/>
      <c r="Q168" s="1" t="n"/>
      <c r="R168" s="7" t="n"/>
      <c r="S168" s="7" t="n"/>
      <c r="T168" s="12" t="n"/>
      <c r="U168" s="1" t="n"/>
      <c r="V168" s="1" t="n"/>
    </row>
    <row r="169" ht="12" customHeight="1" s="195">
      <c r="A169" s="126" t="n">
        <v>10500</v>
      </c>
      <c r="B169" s="185" t="inlineStr">
        <is>
          <t>TOILET PARTITIONS</t>
        </is>
      </c>
      <c r="C169" s="186" t="n"/>
      <c r="D169" s="127" t="n">
        <v>1</v>
      </c>
      <c r="E169" s="128" t="inlineStr">
        <is>
          <t>SUB</t>
        </is>
      </c>
      <c r="F169" s="128" t="n"/>
      <c r="G169" s="129" t="n"/>
      <c r="H169" s="129" t="n"/>
      <c r="I169" s="205" t="n">
        <v>31000</v>
      </c>
      <c r="J169" s="130" t="n"/>
      <c r="K169" s="130" t="n"/>
      <c r="L169" s="100" t="n"/>
      <c r="M169" s="1">
        <f>IF(N169&gt;0,ROUND(N169/$M$10,0),0)</f>
        <v/>
      </c>
      <c r="N169" s="1">
        <f>(G169*D169)</f>
        <v/>
      </c>
      <c r="O169" s="7">
        <f>(N169*$O$10)</f>
        <v/>
      </c>
      <c r="P169" s="1">
        <f>(H169*D169)</f>
        <v/>
      </c>
      <c r="Q169" s="1">
        <f>(I169*D169)</f>
        <v/>
      </c>
      <c r="R169" s="1">
        <f>(J169*D169)</f>
        <v/>
      </c>
      <c r="S169" s="7">
        <f>(K169*D169)</f>
        <v/>
      </c>
      <c r="T169" s="12">
        <f>SUM(N169:S169)</f>
        <v/>
      </c>
      <c r="U169" s="1" t="n"/>
      <c r="V169" s="1" t="n"/>
    </row>
    <row r="170" ht="12" customHeight="1" s="195">
      <c r="A170" s="126" t="n">
        <v>10800</v>
      </c>
      <c r="B170" s="185" t="inlineStr">
        <is>
          <t>TOILET &amp; BATH ACCESSORIES</t>
        </is>
      </c>
      <c r="C170" s="186" t="n"/>
      <c r="D170" s="127" t="n">
        <v>1</v>
      </c>
      <c r="E170" s="128" t="inlineStr">
        <is>
          <t>SUB</t>
        </is>
      </c>
      <c r="F170" s="128" t="n"/>
      <c r="G170" s="129" t="n"/>
      <c r="H170" s="129" t="n"/>
      <c r="I170" s="205" t="n">
        <v>31000</v>
      </c>
      <c r="J170" s="130" t="n"/>
      <c r="K170" s="130" t="n"/>
      <c r="L170" s="100" t="n"/>
      <c r="M170" s="1">
        <f>IF(N170&gt;0,ROUND(N170/$M$10,0),0)</f>
        <v/>
      </c>
      <c r="N170" s="1">
        <f>(G170*D170)</f>
        <v/>
      </c>
      <c r="O170" s="7">
        <f>(N170*$O$10)</f>
        <v/>
      </c>
      <c r="P170" s="1">
        <f>(H170*D170)</f>
        <v/>
      </c>
      <c r="Q170" s="1">
        <f>(I170*D170)</f>
        <v/>
      </c>
      <c r="R170" s="1">
        <f>(J170*D170)</f>
        <v/>
      </c>
      <c r="S170" s="7">
        <f>(K170*D170)</f>
        <v/>
      </c>
      <c r="T170" s="12">
        <f>SUM(N170:S170)</f>
        <v/>
      </c>
      <c r="U170" s="1" t="n"/>
      <c r="V170" s="1" t="n"/>
    </row>
    <row r="171" ht="12" customHeight="1" s="195">
      <c r="A171" s="126" t="n">
        <v>10830</v>
      </c>
      <c r="B171" s="185" t="inlineStr">
        <is>
          <t>SIGNAGE</t>
        </is>
      </c>
      <c r="C171" s="186" t="n"/>
      <c r="D171" s="127" t="n">
        <v>1</v>
      </c>
      <c r="E171" s="128" t="inlineStr">
        <is>
          <t>SUB</t>
        </is>
      </c>
      <c r="F171" s="128" t="n"/>
      <c r="G171" s="129" t="n"/>
      <c r="H171" s="129" t="n"/>
      <c r="I171" s="129" t="n"/>
      <c r="J171" s="130" t="n"/>
      <c r="K171" s="130" t="n"/>
      <c r="L171" s="100" t="n"/>
      <c r="M171" s="1">
        <f>IF(N171&gt;0,ROUND(N171/$M$10,0),0)</f>
        <v/>
      </c>
      <c r="N171" s="1">
        <f>(G171*D171)</f>
        <v/>
      </c>
      <c r="O171" s="7">
        <f>(N171*$O$10)</f>
        <v/>
      </c>
      <c r="P171" s="1">
        <f>(H171*D171)</f>
        <v/>
      </c>
      <c r="Q171" s="1">
        <f>(I171*D171)</f>
        <v/>
      </c>
      <c r="R171" s="1">
        <f>(J171*D171)</f>
        <v/>
      </c>
      <c r="S171" s="7">
        <f>(K171*D171)</f>
        <v/>
      </c>
      <c r="T171" s="12">
        <f>SUM(N171:S171)</f>
        <v/>
      </c>
      <c r="U171" s="1" t="n"/>
      <c r="V171" s="1" t="n"/>
    </row>
    <row r="172" ht="12" customHeight="1" s="195">
      <c r="A172" s="126" t="n">
        <v>10850</v>
      </c>
      <c r="B172" s="185" t="inlineStr">
        <is>
          <t>POSTAL SPECIALTIES</t>
        </is>
      </c>
      <c r="C172" s="186" t="n"/>
      <c r="D172" s="127" t="n">
        <v>1</v>
      </c>
      <c r="E172" s="128" t="inlineStr">
        <is>
          <t>SUB</t>
        </is>
      </c>
      <c r="F172" s="128" t="n"/>
      <c r="G172" s="129" t="n"/>
      <c r="H172" s="129" t="n"/>
      <c r="I172" s="129" t="n"/>
      <c r="J172" s="130" t="n"/>
      <c r="K172" s="130" t="n"/>
      <c r="L172" s="100" t="n"/>
      <c r="M172" s="1">
        <f>IF(N172&gt;0,ROUND(N172/$M$10,0),0)</f>
        <v/>
      </c>
      <c r="N172" s="1">
        <f>(G172*D172)</f>
        <v/>
      </c>
      <c r="O172" s="7">
        <f>(N172*$O$10)</f>
        <v/>
      </c>
      <c r="P172" s="1">
        <f>(H172*D172)</f>
        <v/>
      </c>
      <c r="Q172" s="1">
        <f>(I172*D172)</f>
        <v/>
      </c>
      <c r="R172" s="1">
        <f>(J172*D172)</f>
        <v/>
      </c>
      <c r="S172" s="7">
        <f>(K172*D172)</f>
        <v/>
      </c>
      <c r="T172" s="12">
        <f>SUM(N172:S172)</f>
        <v/>
      </c>
      <c r="U172" s="1" t="n"/>
      <c r="V172" s="1" t="n"/>
    </row>
    <row r="173" ht="12" customHeight="1" s="195">
      <c r="A173" s="126" t="n">
        <v>10000</v>
      </c>
      <c r="B173" s="176" t="inlineStr">
        <is>
          <t>ACCESS PANELS ALLOWANCE</t>
        </is>
      </c>
      <c r="C173" s="185" t="n"/>
      <c r="D173" s="127" t="n">
        <v>1</v>
      </c>
      <c r="E173" s="128" t="inlineStr">
        <is>
          <t>SUB</t>
        </is>
      </c>
      <c r="F173" s="128" t="n"/>
      <c r="G173" s="129" t="n"/>
      <c r="H173" s="129" t="n"/>
      <c r="I173" s="129" t="n"/>
      <c r="J173" s="130" t="n"/>
      <c r="K173" s="130" t="n"/>
      <c r="L173" s="100" t="n"/>
      <c r="M173" s="1">
        <f>IF(N173&gt;0,ROUND(N173/$M$10,0),0)</f>
        <v/>
      </c>
      <c r="N173" s="1">
        <f>(G173*D173)</f>
        <v/>
      </c>
      <c r="O173" s="7">
        <f>(N173*$O$10)</f>
        <v/>
      </c>
      <c r="P173" s="1">
        <f>(H173*D173)</f>
        <v/>
      </c>
      <c r="Q173" s="1">
        <f>(I173*D173)</f>
        <v/>
      </c>
      <c r="R173" s="1">
        <f>(J173*D173)</f>
        <v/>
      </c>
      <c r="S173" s="7">
        <f>(K173*D173)</f>
        <v/>
      </c>
      <c r="T173" s="12">
        <f>SUM(N173:S173)</f>
        <v/>
      </c>
      <c r="U173" s="1" t="n"/>
      <c r="V173" s="1" t="n"/>
    </row>
    <row r="174" ht="12" customHeight="1" s="195">
      <c r="A174" s="126" t="n">
        <v>10000</v>
      </c>
      <c r="B174" s="176" t="inlineStr">
        <is>
          <t>SPECIALTIES</t>
        </is>
      </c>
      <c r="C174" s="185" t="n"/>
      <c r="D174" s="127" t="n">
        <v>1</v>
      </c>
      <c r="E174" s="128" t="inlineStr">
        <is>
          <t>SUB</t>
        </is>
      </c>
      <c r="F174" s="128" t="n"/>
      <c r="G174" s="129" t="n"/>
      <c r="H174" s="129" t="n"/>
      <c r="I174" s="129" t="n"/>
      <c r="J174" s="130" t="n"/>
      <c r="K174" s="130" t="n"/>
      <c r="L174" s="100" t="n"/>
      <c r="M174" s="1">
        <f>IF(N174&gt;0,ROUND(N174/$M$10,0),0)</f>
        <v/>
      </c>
      <c r="N174" s="1">
        <f>(G174*D174)</f>
        <v/>
      </c>
      <c r="O174" s="7">
        <f>(N174*$O$10)</f>
        <v/>
      </c>
      <c r="P174" s="1">
        <f>(H174*D174)</f>
        <v/>
      </c>
      <c r="Q174" s="1">
        <f>(I174*D174)</f>
        <v/>
      </c>
      <c r="R174" s="1">
        <f>(J174*D174)</f>
        <v/>
      </c>
      <c r="S174" s="7">
        <f>(K174*D174)</f>
        <v/>
      </c>
      <c r="T174" s="12">
        <f>SUM(N174:S174)</f>
        <v/>
      </c>
      <c r="U174" s="1" t="n"/>
      <c r="V174" s="1" t="n"/>
    </row>
    <row r="175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1" t="n"/>
      <c r="N175" s="1" t="n"/>
      <c r="O175" s="7" t="n"/>
      <c r="P175" s="1" t="n"/>
      <c r="Q175" s="1" t="n"/>
      <c r="R175" s="7" t="n"/>
      <c r="S175" s="7" t="n"/>
      <c r="T175" s="12" t="n"/>
      <c r="U175" s="1" t="n"/>
      <c r="V175" s="1" t="n"/>
    </row>
    <row r="176" ht="10" customHeight="1" s="195">
      <c r="A176" s="125" t="n">
        <v>10000</v>
      </c>
      <c r="B176" s="98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3">
        <f>SUM(M168:M175)</f>
        <v/>
      </c>
      <c r="N176" s="93">
        <f>SUM(N168:N175)</f>
        <v/>
      </c>
      <c r="O176" s="95">
        <f>SUM(O168:O175)</f>
        <v/>
      </c>
      <c r="P176" s="93">
        <f>SUM(P168:P175)</f>
        <v/>
      </c>
      <c r="Q176" s="93">
        <f>SUM(Q168:Q175)</f>
        <v/>
      </c>
      <c r="R176" s="95">
        <f>SUM(R168:R175)</f>
        <v/>
      </c>
      <c r="S176" s="95">
        <f>SUM(S168:S175)</f>
        <v/>
      </c>
      <c r="T176" s="98">
        <f>SUM(T168:T175)</f>
        <v/>
      </c>
      <c r="U176" s="203" t="n">
        <v>0</v>
      </c>
      <c r="V176" s="203" t="n">
        <v>0</v>
      </c>
    </row>
    <row r="177" ht="10" customHeight="1" s="195">
      <c r="A177" s="109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1" t="n"/>
      <c r="N177" s="1" t="n"/>
      <c r="O177" s="7" t="n"/>
      <c r="P177" s="1" t="n"/>
      <c r="Q177" s="1" t="n"/>
      <c r="R177" s="7" t="n"/>
      <c r="S177" s="7" t="n"/>
      <c r="T177" s="12" t="n"/>
      <c r="U177" s="1" t="n"/>
      <c r="V177" s="1" t="n"/>
    </row>
    <row r="178" ht="12" customHeight="1" s="195">
      <c r="A178" s="126" t="n">
        <v>11000</v>
      </c>
      <c r="B178" s="185" t="inlineStr">
        <is>
          <t>EQUIPMENT</t>
        </is>
      </c>
      <c r="C178" s="186" t="n"/>
      <c r="D178" s="127" t="n">
        <v>1</v>
      </c>
      <c r="E178" s="128" t="inlineStr">
        <is>
          <t>SUB</t>
        </is>
      </c>
      <c r="F178" s="128" t="n"/>
      <c r="G178" s="129" t="n"/>
      <c r="H178" s="129" t="n"/>
      <c r="I178" s="205" t="n">
        <v>50000</v>
      </c>
      <c r="J178" s="130" t="n"/>
      <c r="K178" s="130" t="n"/>
      <c r="L178" s="100" t="n"/>
      <c r="M178" s="1">
        <f>IF(N178&gt;0,ROUND(N178/$M$10,0),0)</f>
        <v/>
      </c>
      <c r="N178" s="1">
        <f>(G178*D178)</f>
        <v/>
      </c>
      <c r="O178" s="7">
        <f>(N178*$O$10)</f>
        <v/>
      </c>
      <c r="P178" s="1">
        <f>(H178*D178)</f>
        <v/>
      </c>
      <c r="Q178" s="1">
        <f>(I178*D178)</f>
        <v/>
      </c>
      <c r="R178" s="1">
        <f>(J178*D178)</f>
        <v/>
      </c>
      <c r="S178" s="7">
        <f>(K178*D178)</f>
        <v/>
      </c>
      <c r="T178" s="12">
        <f>SUM(N178:S178)</f>
        <v/>
      </c>
      <c r="U178" s="1" t="n"/>
      <c r="V178" s="1" t="n"/>
    </row>
    <row r="179" ht="12" customHeight="1" s="195">
      <c r="A179" s="126" t="n">
        <v>11170</v>
      </c>
      <c r="B179" s="185" t="inlineStr">
        <is>
          <t>FOOD SERVICE EQUIPMENT</t>
        </is>
      </c>
      <c r="C179" s="186" t="n"/>
      <c r="D179" s="127" t="n">
        <v>1</v>
      </c>
      <c r="E179" s="128" t="inlineStr">
        <is>
          <t>SUB</t>
        </is>
      </c>
      <c r="F179" s="128" t="n"/>
      <c r="G179" s="129" t="n"/>
      <c r="H179" s="129" t="n"/>
      <c r="I179" s="129" t="n"/>
      <c r="J179" s="130" t="n"/>
      <c r="K179" s="130" t="n"/>
      <c r="L179" s="100" t="n"/>
      <c r="M179" s="1">
        <f>IF(N179&gt;0,ROUND(N179/$M$10,0),0)</f>
        <v/>
      </c>
      <c r="N179" s="1">
        <f>(G179*D179)</f>
        <v/>
      </c>
      <c r="O179" s="7">
        <f>(N179*$O$10)</f>
        <v/>
      </c>
      <c r="P179" s="1">
        <f>(H179*D179)</f>
        <v/>
      </c>
      <c r="Q179" s="1">
        <f>(I179*D179)</f>
        <v/>
      </c>
      <c r="R179" s="1">
        <f>(J179*D179)</f>
        <v/>
      </c>
      <c r="S179" s="7">
        <f>(K179*D179)</f>
        <v/>
      </c>
      <c r="T179" s="12">
        <f>SUM(N179:S179)</f>
        <v/>
      </c>
      <c r="U179" s="1" t="n"/>
      <c r="V179" s="1" t="n"/>
    </row>
    <row r="180" ht="12" customHeight="1" s="195">
      <c r="A180" s="126" t="n">
        <v>11180</v>
      </c>
      <c r="B180" s="185" t="inlineStr">
        <is>
          <t>APPLIANCES</t>
        </is>
      </c>
      <c r="C180" s="186" t="n"/>
      <c r="D180" s="127" t="n">
        <v>1</v>
      </c>
      <c r="E180" s="128" t="inlineStr">
        <is>
          <t>SUB</t>
        </is>
      </c>
      <c r="F180" s="128" t="n"/>
      <c r="G180" s="129" t="n"/>
      <c r="H180" s="129" t="n"/>
      <c r="I180" s="129" t="n"/>
      <c r="J180" s="130" t="n"/>
      <c r="K180" s="130" t="n"/>
      <c r="L180" s="100" t="n"/>
      <c r="M180" s="1">
        <f>IF(N180&gt;0,ROUND(N180/$M$10,0),0)</f>
        <v/>
      </c>
      <c r="N180" s="1">
        <f>(G180*D180)</f>
        <v/>
      </c>
      <c r="O180" s="7">
        <f>(N180*$O$10)</f>
        <v/>
      </c>
      <c r="P180" s="1">
        <f>(H180*D180)</f>
        <v/>
      </c>
      <c r="Q180" s="1">
        <f>(I180*D180)</f>
        <v/>
      </c>
      <c r="R180" s="1">
        <f>(J180*D180)</f>
        <v/>
      </c>
      <c r="S180" s="7">
        <f>(K180*D180)</f>
        <v/>
      </c>
      <c r="T180" s="12">
        <f>SUM(N180:S180)</f>
        <v/>
      </c>
      <c r="U180" s="1" t="n"/>
      <c r="V180" s="1" t="n"/>
    </row>
    <row r="181" ht="12" customHeight="1" s="195">
      <c r="A181" s="126" t="n">
        <v>11000</v>
      </c>
      <c r="B181" s="185" t="inlineStr">
        <is>
          <t>EQUIPMENT</t>
        </is>
      </c>
      <c r="C181" s="186" t="n"/>
      <c r="D181" s="127" t="n">
        <v>1</v>
      </c>
      <c r="E181" s="128" t="inlineStr">
        <is>
          <t>SUB</t>
        </is>
      </c>
      <c r="F181" s="128" t="n"/>
      <c r="G181" s="129" t="n"/>
      <c r="H181" s="129" t="n"/>
      <c r="I181" s="129" t="n"/>
      <c r="J181" s="130" t="n"/>
      <c r="K181" s="130" t="n"/>
      <c r="L181" s="100" t="n"/>
      <c r="M181" s="1">
        <f>IF(N181&gt;0,ROUND(N181/$M$10,0),0)</f>
        <v/>
      </c>
      <c r="N181" s="1">
        <f>(G181*D181)</f>
        <v/>
      </c>
      <c r="O181" s="7">
        <f>(N181*$O$10)</f>
        <v/>
      </c>
      <c r="P181" s="1">
        <f>(H181*D181)</f>
        <v/>
      </c>
      <c r="Q181" s="1">
        <f>(I181*D181)</f>
        <v/>
      </c>
      <c r="R181" s="1">
        <f>(J181*D181)</f>
        <v/>
      </c>
      <c r="S181" s="7">
        <f>(K181*D181)</f>
        <v/>
      </c>
      <c r="T181" s="12">
        <f>SUM(N181:S181)</f>
        <v/>
      </c>
      <c r="U181" s="1" t="n"/>
      <c r="V181" s="1" t="n"/>
    </row>
    <row r="182" ht="12" customHeight="1" s="195">
      <c r="A182" s="126" t="n">
        <v>11000</v>
      </c>
      <c r="B182" s="185" t="inlineStr">
        <is>
          <t>EQUIPMENT</t>
        </is>
      </c>
      <c r="C182" s="186" t="n"/>
      <c r="D182" s="127" t="n">
        <v>1</v>
      </c>
      <c r="E182" s="128" t="inlineStr">
        <is>
          <t>SUB</t>
        </is>
      </c>
      <c r="F182" s="128" t="n"/>
      <c r="G182" s="129" t="n"/>
      <c r="H182" s="129" t="n"/>
      <c r="I182" s="129" t="n"/>
      <c r="J182" s="130" t="n"/>
      <c r="K182" s="130" t="n"/>
      <c r="L182" s="100" t="n"/>
      <c r="M182" s="1">
        <f>IF(N182&gt;0,ROUND(N182/$M$10,0),0)</f>
        <v/>
      </c>
      <c r="N182" s="1">
        <f>(G182*D182)</f>
        <v/>
      </c>
      <c r="O182" s="7">
        <f>(N182*$O$10)</f>
        <v/>
      </c>
      <c r="P182" s="1">
        <f>(H182*D182)</f>
        <v/>
      </c>
      <c r="Q182" s="1">
        <f>(I182*D182)</f>
        <v/>
      </c>
      <c r="R182" s="1">
        <f>(J182*D182)</f>
        <v/>
      </c>
      <c r="S182" s="7">
        <f>(K182*D182)</f>
        <v/>
      </c>
      <c r="T182" s="12">
        <f>SUM(N182:S182)</f>
        <v/>
      </c>
      <c r="U182" s="1" t="n"/>
      <c r="V182" s="1" t="n"/>
    </row>
    <row r="183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1" t="n"/>
      <c r="N183" s="1" t="n"/>
      <c r="O183" s="7" t="n"/>
      <c r="P183" s="1" t="n"/>
      <c r="Q183" s="1" t="n"/>
      <c r="R183" s="7" t="n"/>
      <c r="S183" s="7" t="n"/>
      <c r="T183" s="12" t="n"/>
      <c r="U183" s="1" t="n"/>
      <c r="V183" s="1" t="n"/>
    </row>
    <row r="184" ht="10" customHeight="1" s="195">
      <c r="A184" s="125" t="n">
        <v>11000</v>
      </c>
      <c r="B184" s="98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3">
        <f>SUM(M177:M183)</f>
        <v/>
      </c>
      <c r="N184" s="93">
        <f>SUM(N177:N183)</f>
        <v/>
      </c>
      <c r="O184" s="95">
        <f>SUM(O177:O183)</f>
        <v/>
      </c>
      <c r="P184" s="93">
        <f>SUM(P177:P183)</f>
        <v/>
      </c>
      <c r="Q184" s="93">
        <f>SUM(Q177:Q183)</f>
        <v/>
      </c>
      <c r="R184" s="95">
        <f>SUM(R177:R183)</f>
        <v/>
      </c>
      <c r="S184" s="95">
        <f>SUM(S177:S183)</f>
        <v/>
      </c>
      <c r="T184" s="98">
        <f>SUM(T177:T183)</f>
        <v/>
      </c>
      <c r="U184" s="203" t="n">
        <v>0</v>
      </c>
      <c r="V184" s="203" t="n">
        <v>0</v>
      </c>
    </row>
    <row r="185" ht="10" customHeight="1" s="195">
      <c r="A185" s="109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1" t="n"/>
      <c r="N185" s="1" t="n"/>
      <c r="O185" s="7" t="n"/>
      <c r="P185" s="1" t="n"/>
      <c r="Q185" s="1" t="n"/>
      <c r="R185" s="7" t="n"/>
      <c r="S185" s="7" t="n"/>
      <c r="T185" s="12" t="n"/>
      <c r="U185" s="1" t="n"/>
      <c r="V185" s="1" t="n"/>
    </row>
    <row r="186" ht="12" customHeight="1" s="195">
      <c r="A186" s="174" t="n">
        <v>15300</v>
      </c>
      <c r="B186" s="185" t="inlineStr">
        <is>
          <t>FIRE PROTECTION</t>
        </is>
      </c>
      <c r="C186" s="186" t="n"/>
      <c r="D186" s="127" t="n">
        <v>1</v>
      </c>
      <c r="E186" s="128" t="inlineStr">
        <is>
          <t>SUB</t>
        </is>
      </c>
      <c r="F186" s="128" t="n"/>
      <c r="G186" s="129" t="n"/>
      <c r="H186" s="129" t="n"/>
      <c r="I186" s="205" t="n">
        <v>50000</v>
      </c>
      <c r="J186" s="130" t="n"/>
      <c r="K186" s="130" t="n"/>
      <c r="L186" s="100" t="n"/>
      <c r="M186" s="1">
        <f>IF(N186&gt;0,ROUND(N186/$M$10,0),0)</f>
        <v/>
      </c>
      <c r="N186" s="1">
        <f>(G186*D186)</f>
        <v/>
      </c>
      <c r="O186" s="7">
        <f>(N186*$O$10)</f>
        <v/>
      </c>
      <c r="P186" s="1">
        <f>(H186*D186)</f>
        <v/>
      </c>
      <c r="Q186" s="1">
        <f>(I186*D186)</f>
        <v/>
      </c>
      <c r="R186" s="1">
        <f>(J186*D186)</f>
        <v/>
      </c>
      <c r="S186" s="7">
        <f>(K186*D186)</f>
        <v/>
      </c>
      <c r="T186" s="12">
        <f>SUM(N186:S186)</f>
        <v/>
      </c>
      <c r="U186" s="1" t="n"/>
      <c r="V186" s="1" t="n"/>
    </row>
    <row r="187" ht="12" customHeight="1" s="195">
      <c r="A187" s="174" t="n">
        <v>15300</v>
      </c>
      <c r="B187" s="185" t="inlineStr">
        <is>
          <t>FIRE PROTECTION</t>
        </is>
      </c>
      <c r="C187" s="186" t="n"/>
      <c r="D187" s="127" t="n">
        <v>1</v>
      </c>
      <c r="E187" s="128" t="inlineStr">
        <is>
          <t>SUB</t>
        </is>
      </c>
      <c r="F187" s="128" t="n"/>
      <c r="G187" s="129" t="n"/>
      <c r="H187" s="129" t="n"/>
      <c r="I187" s="129" t="n"/>
      <c r="J187" s="130" t="n"/>
      <c r="K187" s="130" t="n"/>
      <c r="L187" s="100" t="n"/>
      <c r="M187" s="1">
        <f>IF(N187&gt;0,ROUND(N187/$M$10,0),0)</f>
        <v/>
      </c>
      <c r="N187" s="1">
        <f>(G187*D187)</f>
        <v/>
      </c>
      <c r="O187" s="7">
        <f>(N187*$O$10)</f>
        <v/>
      </c>
      <c r="P187" s="1">
        <f>(H187*D187)</f>
        <v/>
      </c>
      <c r="Q187" s="1">
        <f>(I187*D187)</f>
        <v/>
      </c>
      <c r="R187" s="1">
        <f>(J187*D187)</f>
        <v/>
      </c>
      <c r="S187" s="7">
        <f>(K187*D187)</f>
        <v/>
      </c>
      <c r="T187" s="12">
        <f>SUM(N187:S187)</f>
        <v/>
      </c>
      <c r="U187" s="1" t="n"/>
      <c r="V187" s="1" t="n"/>
    </row>
    <row r="188" ht="12" customHeight="1" s="195">
      <c r="A188" s="174" t="n">
        <v>15300</v>
      </c>
      <c r="B188" s="185" t="inlineStr">
        <is>
          <t>FIRE PROTECTION</t>
        </is>
      </c>
      <c r="C188" s="186" t="n"/>
      <c r="D188" s="127" t="n">
        <v>1</v>
      </c>
      <c r="E188" s="128" t="inlineStr">
        <is>
          <t>SUB</t>
        </is>
      </c>
      <c r="F188" s="128" t="n"/>
      <c r="G188" s="129" t="n"/>
      <c r="H188" s="129" t="n"/>
      <c r="I188" s="129" t="n"/>
      <c r="J188" s="130" t="n"/>
      <c r="K188" s="130" t="n"/>
      <c r="L188" s="100" t="n"/>
      <c r="M188" s="1">
        <f>IF(N188&gt;0,ROUND(N188/$M$10,0),0)</f>
        <v/>
      </c>
      <c r="N188" s="1">
        <f>(G188*D188)</f>
        <v/>
      </c>
      <c r="O188" s="7">
        <f>(N188*$O$10)</f>
        <v/>
      </c>
      <c r="P188" s="1">
        <f>(H188*D188)</f>
        <v/>
      </c>
      <c r="Q188" s="1">
        <f>(I188*D188)</f>
        <v/>
      </c>
      <c r="R188" s="1">
        <f>(J188*D188)</f>
        <v/>
      </c>
      <c r="S188" s="7">
        <f>(K188*D188)</f>
        <v/>
      </c>
      <c r="T188" s="12">
        <f>SUM(N188:S188)</f>
        <v/>
      </c>
      <c r="U188" s="1" t="n"/>
      <c r="V188" s="1" t="n"/>
    </row>
    <row r="189" ht="12" customHeight="1" s="195">
      <c r="A189" s="174" t="n">
        <v>15300</v>
      </c>
      <c r="B189" s="185" t="inlineStr">
        <is>
          <t>FIRE PROTECTION</t>
        </is>
      </c>
      <c r="C189" s="186" t="n"/>
      <c r="D189" s="127" t="n">
        <v>1</v>
      </c>
      <c r="E189" s="128" t="inlineStr">
        <is>
          <t>SUB</t>
        </is>
      </c>
      <c r="F189" s="128" t="n"/>
      <c r="G189" s="129" t="n"/>
      <c r="H189" s="129" t="n"/>
      <c r="I189" s="129" t="n"/>
      <c r="J189" s="130" t="n"/>
      <c r="K189" s="130" t="n"/>
      <c r="L189" s="100" t="n"/>
      <c r="M189" s="1">
        <f>IF(N189&gt;0,ROUND(N189/$M$10,0),0)</f>
        <v/>
      </c>
      <c r="N189" s="1">
        <f>(G189*D189)</f>
        <v/>
      </c>
      <c r="O189" s="7">
        <f>(N189*$O$10)</f>
        <v/>
      </c>
      <c r="P189" s="1">
        <f>(H189*D189)</f>
        <v/>
      </c>
      <c r="Q189" s="1">
        <f>(I189*D189)</f>
        <v/>
      </c>
      <c r="R189" s="1">
        <f>(J189*D189)</f>
        <v/>
      </c>
      <c r="S189" s="7">
        <f>(K189*D189)</f>
        <v/>
      </c>
      <c r="T189" s="12">
        <f>SUM(N189:S189)</f>
        <v/>
      </c>
      <c r="U189" s="1" t="n"/>
      <c r="V189" s="1" t="n"/>
    </row>
    <row r="190" ht="12" customHeight="1" s="195">
      <c r="A190" s="174" t="n">
        <v>15300</v>
      </c>
      <c r="B190" s="185" t="inlineStr">
        <is>
          <t>FIRE SPRINKLER MODS</t>
        </is>
      </c>
      <c r="C190" s="186" t="n"/>
      <c r="D190" s="127" t="n">
        <v>1</v>
      </c>
      <c r="E190" s="128" t="inlineStr">
        <is>
          <t>SUB</t>
        </is>
      </c>
      <c r="F190" s="128" t="n"/>
      <c r="G190" s="129" t="n"/>
      <c r="H190" s="129" t="n"/>
      <c r="I190" s="202" t="n"/>
      <c r="J190" s="130" t="n"/>
      <c r="K190" s="130" t="n"/>
      <c r="L190" s="100" t="n"/>
      <c r="M190" s="1">
        <f>IF(N190&gt;0,ROUND(N190/$M$10,0),0)</f>
        <v/>
      </c>
      <c r="N190" s="1">
        <f>(G190*D190)</f>
        <v/>
      </c>
      <c r="O190" s="7">
        <f>(N190*$O$10)</f>
        <v/>
      </c>
      <c r="P190" s="1">
        <f>(H190*D190)</f>
        <v/>
      </c>
      <c r="Q190" s="1">
        <f>(I190*D190)</f>
        <v/>
      </c>
      <c r="R190" s="1">
        <f>(J190*D190)</f>
        <v/>
      </c>
      <c r="S190" s="7">
        <f>(K190*D190)</f>
        <v/>
      </c>
      <c r="T190" s="12">
        <f>SUM(N190:S190)</f>
        <v/>
      </c>
      <c r="U190" s="1" t="n"/>
      <c r="V190" s="1" t="n"/>
    </row>
    <row r="19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1" t="n"/>
      <c r="N191" s="1" t="n"/>
      <c r="O191" s="7" t="n"/>
      <c r="P191" s="1" t="n"/>
      <c r="Q191" s="1" t="n"/>
      <c r="R191" s="7" t="n"/>
      <c r="S191" s="7" t="n"/>
      <c r="T191" s="12" t="n"/>
      <c r="U191" s="1" t="n"/>
      <c r="V191" s="1" t="n"/>
    </row>
    <row r="192" ht="10" customHeight="1" s="195">
      <c r="A192" s="114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8">
        <f>SUM(M185:M191)</f>
        <v/>
      </c>
      <c r="N192" s="98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203" t="n">
        <v>0</v>
      </c>
      <c r="V192" s="203" t="n">
        <v>0</v>
      </c>
    </row>
    <row r="193" ht="10" customHeight="1" s="195">
      <c r="A193" s="109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1" t="n"/>
      <c r="N193" s="1" t="n"/>
      <c r="O193" s="7" t="n"/>
      <c r="P193" s="1" t="n"/>
      <c r="Q193" s="1" t="n"/>
      <c r="R193" s="7" t="n"/>
      <c r="S193" s="7" t="n"/>
      <c r="T193" s="12" t="n"/>
      <c r="U193" s="1" t="n"/>
      <c r="V193" s="1" t="n"/>
    </row>
    <row r="194" ht="12" customHeight="1" s="195">
      <c r="A194" s="174" t="n">
        <v>15400</v>
      </c>
      <c r="B194" s="187" t="inlineStr">
        <is>
          <t>PLUMBING</t>
        </is>
      </c>
      <c r="C194" s="186" t="n"/>
      <c r="D194" s="127" t="n">
        <v>1</v>
      </c>
      <c r="E194" s="128" t="inlineStr">
        <is>
          <t>SUB</t>
        </is>
      </c>
      <c r="F194" s="128" t="n"/>
      <c r="G194" s="129" t="n"/>
      <c r="H194" s="129" t="n"/>
      <c r="I194" s="205" t="n">
        <v>100000</v>
      </c>
      <c r="J194" s="130" t="n"/>
      <c r="K194" s="130" t="n"/>
      <c r="L194" s="100" t="n"/>
      <c r="M194" s="1">
        <f>IF(N194&gt;0,ROUND(N194/$M$10,0),0)</f>
        <v/>
      </c>
      <c r="N194" s="1">
        <f>(G194*D194)</f>
        <v/>
      </c>
      <c r="O194" s="7">
        <f>(N194*$O$10)</f>
        <v/>
      </c>
      <c r="P194" s="1">
        <f>(H194*D194)</f>
        <v/>
      </c>
      <c r="Q194" s="1">
        <f>(I194*D194)</f>
        <v/>
      </c>
      <c r="R194" s="1">
        <f>(J194*D194)</f>
        <v/>
      </c>
      <c r="S194" s="7">
        <f>(K194*D194)</f>
        <v/>
      </c>
      <c r="T194" s="12">
        <f>SUM(N194:S194)</f>
        <v/>
      </c>
      <c r="U194" s="1" t="n"/>
      <c r="V194" s="1" t="n"/>
    </row>
    <row r="195" ht="12" customHeight="1" s="195">
      <c r="A195" s="174" t="n">
        <v>15400</v>
      </c>
      <c r="B195" s="185" t="inlineStr">
        <is>
          <t>PLUMBING</t>
        </is>
      </c>
      <c r="C195" s="186" t="n"/>
      <c r="D195" s="127" t="n">
        <v>1</v>
      </c>
      <c r="E195" s="128" t="inlineStr">
        <is>
          <t>SUB</t>
        </is>
      </c>
      <c r="F195" s="128" t="n"/>
      <c r="G195" s="129" t="n"/>
      <c r="H195" s="129" t="n"/>
      <c r="I195" s="129" t="n"/>
      <c r="J195" s="130" t="n"/>
      <c r="K195" s="130" t="n"/>
      <c r="L195" s="100" t="n"/>
      <c r="M195" s="1">
        <f>IF(N195&gt;0,ROUND(N195/$M$10,0),0)</f>
        <v/>
      </c>
      <c r="N195" s="1">
        <f>(G195*D195)</f>
        <v/>
      </c>
      <c r="O195" s="7">
        <f>(N195*$O$10)</f>
        <v/>
      </c>
      <c r="P195" s="1">
        <f>(H195*D195)</f>
        <v/>
      </c>
      <c r="Q195" s="1">
        <f>(I195*D195)</f>
        <v/>
      </c>
      <c r="R195" s="1">
        <f>(J195*D195)</f>
        <v/>
      </c>
      <c r="S195" s="7">
        <f>(K195*D195)</f>
        <v/>
      </c>
      <c r="T195" s="12">
        <f>SUM(N195:S195)</f>
        <v/>
      </c>
      <c r="U195" s="1" t="n"/>
      <c r="V195" s="1" t="n"/>
    </row>
    <row r="196" ht="12" customHeight="1" s="195">
      <c r="A196" s="174" t="n">
        <v>15400</v>
      </c>
      <c r="B196" s="185" t="inlineStr">
        <is>
          <t>PLUMBING</t>
        </is>
      </c>
      <c r="C196" s="186" t="n"/>
      <c r="D196" s="127" t="n">
        <v>1</v>
      </c>
      <c r="E196" s="128" t="inlineStr">
        <is>
          <t>SUB</t>
        </is>
      </c>
      <c r="F196" s="128" t="n"/>
      <c r="G196" s="129" t="n"/>
      <c r="H196" s="129" t="n"/>
      <c r="I196" s="129" t="n"/>
      <c r="J196" s="130" t="n"/>
      <c r="K196" s="130" t="n"/>
      <c r="L196" s="100" t="n"/>
      <c r="M196" s="1">
        <f>IF(N196&gt;0,ROUND(N196/$M$10,0),0)</f>
        <v/>
      </c>
      <c r="N196" s="1">
        <f>(G196*D196)</f>
        <v/>
      </c>
      <c r="O196" s="7">
        <f>(N196*$O$10)</f>
        <v/>
      </c>
      <c r="P196" s="1">
        <f>(H196*D196)</f>
        <v/>
      </c>
      <c r="Q196" s="1">
        <f>(I196*D196)</f>
        <v/>
      </c>
      <c r="R196" s="1">
        <f>(J196*D196)</f>
        <v/>
      </c>
      <c r="S196" s="7">
        <f>(K196*D196)</f>
        <v/>
      </c>
      <c r="T196" s="12">
        <f>SUM(N196:S196)</f>
        <v/>
      </c>
      <c r="U196" s="1" t="n"/>
      <c r="V196" s="1" t="n"/>
    </row>
    <row r="197" ht="12" customHeight="1" s="195">
      <c r="A197" s="174" t="n">
        <v>15400</v>
      </c>
      <c r="B197" s="185" t="inlineStr">
        <is>
          <t>PLUMBING</t>
        </is>
      </c>
      <c r="C197" s="186" t="n"/>
      <c r="D197" s="127" t="n">
        <v>1</v>
      </c>
      <c r="E197" s="128" t="inlineStr">
        <is>
          <t>SUB</t>
        </is>
      </c>
      <c r="F197" s="128" t="n"/>
      <c r="G197" s="129" t="n"/>
      <c r="H197" s="129" t="n"/>
      <c r="I197" s="129" t="n"/>
      <c r="J197" s="130" t="n"/>
      <c r="K197" s="130" t="n"/>
      <c r="L197" s="100" t="n"/>
      <c r="M197" s="1">
        <f>IF(N197&gt;0,ROUND(N197/$M$10,0),0)</f>
        <v/>
      </c>
      <c r="N197" s="1">
        <f>(G197*D197)</f>
        <v/>
      </c>
      <c r="O197" s="7">
        <f>(N197*$O$10)</f>
        <v/>
      </c>
      <c r="P197" s="1">
        <f>(H197*D197)</f>
        <v/>
      </c>
      <c r="Q197" s="1">
        <f>(I197*D197)</f>
        <v/>
      </c>
      <c r="R197" s="1">
        <f>(J197*D197)</f>
        <v/>
      </c>
      <c r="S197" s="7">
        <f>(K197*D197)</f>
        <v/>
      </c>
      <c r="T197" s="12">
        <f>SUM(N197:S197)</f>
        <v/>
      </c>
      <c r="U197" s="1" t="n"/>
      <c r="V197" s="1" t="n"/>
    </row>
    <row r="198" ht="12" customHeight="1" s="195">
      <c r="A198" s="174" t="n">
        <v>15400</v>
      </c>
      <c r="B198" s="185" t="inlineStr">
        <is>
          <t>PLUMBING</t>
        </is>
      </c>
      <c r="C198" s="186" t="n"/>
      <c r="D198" s="127" t="n">
        <v>1</v>
      </c>
      <c r="E198" s="128" t="inlineStr">
        <is>
          <t>SUB</t>
        </is>
      </c>
      <c r="F198" s="128" t="n"/>
      <c r="G198" s="129" t="n"/>
      <c r="H198" s="129" t="n"/>
      <c r="I198" s="129" t="n"/>
      <c r="J198" s="130" t="n"/>
      <c r="K198" s="130" t="n"/>
      <c r="L198" s="100" t="n"/>
      <c r="M198" s="1">
        <f>IF(N198&gt;0,ROUND(N198/$M$10,0),0)</f>
        <v/>
      </c>
      <c r="N198" s="1">
        <f>(G198*D198)</f>
        <v/>
      </c>
      <c r="O198" s="7">
        <f>(N198*$O$10)</f>
        <v/>
      </c>
      <c r="P198" s="1">
        <f>(H198*D198)</f>
        <v/>
      </c>
      <c r="Q198" s="1">
        <f>(I198*D198)</f>
        <v/>
      </c>
      <c r="R198" s="1">
        <f>(J198*D198)</f>
        <v/>
      </c>
      <c r="S198" s="7">
        <f>(K198*D198)</f>
        <v/>
      </c>
      <c r="T198" s="12">
        <f>SUM(N198:S198)</f>
        <v/>
      </c>
      <c r="U198" s="1" t="n"/>
      <c r="V198" s="1" t="n"/>
    </row>
    <row r="199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1" t="n"/>
      <c r="N199" s="1" t="n"/>
      <c r="O199" s="7" t="n"/>
      <c r="P199" s="1" t="n"/>
      <c r="Q199" s="1" t="n"/>
      <c r="R199" s="7" t="n"/>
      <c r="S199" s="7" t="n"/>
      <c r="T199" s="12" t="n"/>
      <c r="U199" s="1" t="n"/>
      <c r="V199" s="1" t="n"/>
    </row>
    <row r="200" ht="10" customHeight="1" s="195">
      <c r="A200" s="114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3">
        <f>SUM(M193:M199)</f>
        <v/>
      </c>
      <c r="N200" s="93">
        <f>SUM(N193:N199)</f>
        <v/>
      </c>
      <c r="O200" s="95">
        <f>SUM(O193:O199)</f>
        <v/>
      </c>
      <c r="P200" s="93">
        <f>SUM(P193:P199)</f>
        <v/>
      </c>
      <c r="Q200" s="93">
        <f>SUM(Q193:Q199)</f>
        <v/>
      </c>
      <c r="R200" s="95">
        <f>SUM(R193:R199)</f>
        <v/>
      </c>
      <c r="S200" s="95">
        <f>SUM(S193:S199)</f>
        <v/>
      </c>
      <c r="T200" s="98">
        <f>SUM(T193:T199)</f>
        <v/>
      </c>
      <c r="U200" s="203" t="n">
        <v>0</v>
      </c>
      <c r="V200" s="203" t="n">
        <v>0</v>
      </c>
    </row>
    <row r="201" ht="10" customHeight="1" s="195">
      <c r="A201" s="109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1" t="n"/>
      <c r="N201" s="1" t="n"/>
      <c r="O201" s="7" t="n"/>
      <c r="P201" s="1" t="n"/>
      <c r="Q201" s="1" t="n"/>
      <c r="R201" s="7" t="n"/>
      <c r="S201" s="7" t="n"/>
      <c r="T201" s="12" t="n"/>
      <c r="U201" s="1" t="n"/>
      <c r="V201" s="1" t="n"/>
    </row>
    <row r="202" ht="12" customHeight="1" s="195">
      <c r="A202" s="174" t="n">
        <v>15500</v>
      </c>
      <c r="B202" s="185" t="inlineStr">
        <is>
          <t>HVAC / HOOD / MAU / EF</t>
        </is>
      </c>
      <c r="C202" s="186" t="n"/>
      <c r="D202" s="127" t="n">
        <v>1</v>
      </c>
      <c r="E202" s="128" t="inlineStr">
        <is>
          <t>SUB</t>
        </is>
      </c>
      <c r="F202" s="128" t="n"/>
      <c r="G202" s="129" t="n"/>
      <c r="H202" s="129" t="n"/>
      <c r="I202" s="205" t="n">
        <v>99782</v>
      </c>
      <c r="J202" s="168" t="n"/>
      <c r="K202" s="130" t="n"/>
      <c r="L202" s="100" t="n"/>
      <c r="M202" s="1">
        <f>IF(N202&gt;0,ROUND(N202/$M$10,0),0)</f>
        <v/>
      </c>
      <c r="N202" s="1">
        <f>(G202*D202)</f>
        <v/>
      </c>
      <c r="O202" s="7">
        <f>(N202*$O$10)</f>
        <v/>
      </c>
      <c r="P202" s="1">
        <f>(H202*D202)</f>
        <v/>
      </c>
      <c r="Q202" s="1">
        <f>(I202*D202)</f>
        <v/>
      </c>
      <c r="R202" s="1">
        <f>(J202*D202)</f>
        <v/>
      </c>
      <c r="S202" s="7">
        <f>(K202*D202)</f>
        <v/>
      </c>
      <c r="T202" s="12">
        <f>SUM(N202:S202)</f>
        <v/>
      </c>
      <c r="U202" s="1" t="n"/>
      <c r="V202" s="1" t="n"/>
    </row>
    <row r="203" ht="12" customHeight="1" s="195">
      <c r="A203" s="174" t="n">
        <v>15500</v>
      </c>
      <c r="B203" s="185" t="inlineStr">
        <is>
          <t xml:space="preserve">HVAC </t>
        </is>
      </c>
      <c r="C203" s="186" t="n"/>
      <c r="D203" s="127" t="n">
        <v>1</v>
      </c>
      <c r="E203" s="128" t="inlineStr">
        <is>
          <t>SUB</t>
        </is>
      </c>
      <c r="F203" s="128" t="n"/>
      <c r="G203" s="129" t="n"/>
      <c r="H203" s="129" t="n"/>
      <c r="I203" s="129" t="n"/>
      <c r="J203" s="130" t="n"/>
      <c r="K203" s="130" t="n"/>
      <c r="L203" s="100" t="n"/>
      <c r="M203" s="1">
        <f>IF(N203&gt;0,ROUND(N203/$M$10,0),0)</f>
        <v/>
      </c>
      <c r="N203" s="1">
        <f>(G203*D203)</f>
        <v/>
      </c>
      <c r="O203" s="7">
        <f>(N203*$O$10)</f>
        <v/>
      </c>
      <c r="P203" s="1">
        <f>(H203*D203)</f>
        <v/>
      </c>
      <c r="Q203" s="1">
        <f>(I203*D203)</f>
        <v/>
      </c>
      <c r="R203" s="1">
        <f>(J203*D203)</f>
        <v/>
      </c>
      <c r="S203" s="7">
        <f>(K203*D203)</f>
        <v/>
      </c>
      <c r="T203" s="12">
        <f>SUM(N203:S203)</f>
        <v/>
      </c>
      <c r="U203" s="1" t="n"/>
      <c r="V203" s="1" t="n"/>
    </row>
    <row r="204" ht="12" customHeight="1" s="195">
      <c r="A204" s="174" t="n">
        <v>15500</v>
      </c>
      <c r="B204" s="185" t="inlineStr">
        <is>
          <t xml:space="preserve">HVAC </t>
        </is>
      </c>
      <c r="C204" s="186" t="n"/>
      <c r="D204" s="127" t="n">
        <v>1</v>
      </c>
      <c r="E204" s="128" t="inlineStr">
        <is>
          <t>SUB</t>
        </is>
      </c>
      <c r="F204" s="128" t="n"/>
      <c r="G204" s="129" t="n"/>
      <c r="H204" s="129" t="n"/>
      <c r="I204" s="129" t="n"/>
      <c r="J204" s="130" t="n"/>
      <c r="K204" s="130" t="n"/>
      <c r="L204" s="100" t="n"/>
      <c r="M204" s="1">
        <f>IF(N204&gt;0,ROUND(N204/$M$10,0),0)</f>
        <v/>
      </c>
      <c r="N204" s="1">
        <f>(G204*D204)</f>
        <v/>
      </c>
      <c r="O204" s="7">
        <f>(N204*$O$10)</f>
        <v/>
      </c>
      <c r="P204" s="1">
        <f>(H204*D204)</f>
        <v/>
      </c>
      <c r="Q204" s="1">
        <f>(I204*D204)</f>
        <v/>
      </c>
      <c r="R204" s="1">
        <f>(J204*D204)</f>
        <v/>
      </c>
      <c r="S204" s="7">
        <f>(K204*D204)</f>
        <v/>
      </c>
      <c r="T204" s="12">
        <f>SUM(N204:S204)</f>
        <v/>
      </c>
      <c r="U204" s="1" t="n"/>
      <c r="V204" s="1" t="n"/>
    </row>
    <row r="205" ht="12" customHeight="1" s="195">
      <c r="A205" s="174" t="n">
        <v>15500</v>
      </c>
      <c r="B205" s="185" t="inlineStr">
        <is>
          <t xml:space="preserve">HVAC </t>
        </is>
      </c>
      <c r="C205" s="186" t="n"/>
      <c r="D205" s="127" t="n">
        <v>1</v>
      </c>
      <c r="E205" s="128" t="inlineStr">
        <is>
          <t>SUB</t>
        </is>
      </c>
      <c r="F205" s="128" t="n"/>
      <c r="G205" s="129" t="n"/>
      <c r="H205" s="129" t="n"/>
      <c r="I205" s="129" t="n"/>
      <c r="J205" s="130" t="n"/>
      <c r="K205" s="130" t="n"/>
      <c r="L205" s="100" t="n"/>
      <c r="M205" s="1">
        <f>IF(N205&gt;0,ROUND(N205/$M$10,0),0)</f>
        <v/>
      </c>
      <c r="N205" s="1">
        <f>(G205*D205)</f>
        <v/>
      </c>
      <c r="O205" s="7">
        <f>(N205*$O$10)</f>
        <v/>
      </c>
      <c r="P205" s="1">
        <f>(H205*D205)</f>
        <v/>
      </c>
      <c r="Q205" s="1">
        <f>(I205*D205)</f>
        <v/>
      </c>
      <c r="R205" s="1">
        <f>(J205*D205)</f>
        <v/>
      </c>
      <c r="S205" s="7">
        <f>(K205*D205)</f>
        <v/>
      </c>
      <c r="T205" s="12">
        <f>SUM(N205:S205)</f>
        <v/>
      </c>
      <c r="U205" s="1" t="n"/>
      <c r="V205" s="1" t="n"/>
    </row>
    <row r="206" ht="12" customHeight="1" s="195">
      <c r="A206" s="174" t="n">
        <v>15500</v>
      </c>
      <c r="B206" s="185" t="inlineStr">
        <is>
          <t xml:space="preserve">HVAC </t>
        </is>
      </c>
      <c r="C206" s="186" t="n"/>
      <c r="D206" s="127" t="n">
        <v>1</v>
      </c>
      <c r="E206" s="128" t="inlineStr">
        <is>
          <t>SUB</t>
        </is>
      </c>
      <c r="F206" s="128" t="n"/>
      <c r="G206" s="129" t="n"/>
      <c r="H206" s="129" t="n"/>
      <c r="I206" s="129" t="n"/>
      <c r="J206" s="130" t="n"/>
      <c r="K206" s="130" t="n"/>
      <c r="L206" s="100" t="n"/>
      <c r="M206" s="1">
        <f>IF(N206&gt;0,ROUND(N206/$M$10,0),0)</f>
        <v/>
      </c>
      <c r="N206" s="1">
        <f>(G206*D206)</f>
        <v/>
      </c>
      <c r="O206" s="7">
        <f>(N206*$O$10)</f>
        <v/>
      </c>
      <c r="P206" s="1">
        <f>(H206*D206)</f>
        <v/>
      </c>
      <c r="Q206" s="1">
        <f>(I206*D206)</f>
        <v/>
      </c>
      <c r="R206" s="1">
        <f>(J206*D206)</f>
        <v/>
      </c>
      <c r="S206" s="7">
        <f>(K206*D206)</f>
        <v/>
      </c>
      <c r="T206" s="12">
        <f>SUM(N206:S206)</f>
        <v/>
      </c>
      <c r="U206" s="1" t="n"/>
      <c r="V206" s="1" t="n"/>
    </row>
    <row r="207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1" t="n"/>
      <c r="N207" s="1" t="n"/>
      <c r="O207" s="7" t="n"/>
      <c r="P207" s="1" t="n"/>
      <c r="Q207" s="1" t="n"/>
      <c r="R207" s="7" t="n"/>
      <c r="S207" s="7" t="n"/>
      <c r="T207" s="12" t="n"/>
      <c r="U207" s="1" t="n"/>
      <c r="V207" s="1" t="n"/>
    </row>
    <row r="208" ht="10" customHeight="1" s="195">
      <c r="A208" s="114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3">
        <f>SUM(M201:M207)</f>
        <v/>
      </c>
      <c r="N208" s="93">
        <f>SUM(N201:N207)</f>
        <v/>
      </c>
      <c r="O208" s="95">
        <f>SUM(O201:O207)</f>
        <v/>
      </c>
      <c r="P208" s="93">
        <f>SUM(P201:P207)</f>
        <v/>
      </c>
      <c r="Q208" s="93">
        <f>SUM(Q201:Q207)</f>
        <v/>
      </c>
      <c r="R208" s="95">
        <f>SUM(R201:R207)</f>
        <v/>
      </c>
      <c r="S208" s="95">
        <f>SUM(S201:S207)</f>
        <v/>
      </c>
      <c r="T208" s="98">
        <f>SUM(T201:T207)</f>
        <v/>
      </c>
      <c r="U208" s="203" t="n">
        <v>0</v>
      </c>
      <c r="V208" s="203" t="n">
        <v>0</v>
      </c>
    </row>
    <row r="209" ht="10" customHeight="1" s="195">
      <c r="A209" s="109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1" t="n"/>
      <c r="N209" s="1" t="n"/>
      <c r="O209" s="7" t="n"/>
      <c r="P209" s="1" t="n"/>
      <c r="Q209" s="1" t="n"/>
      <c r="R209" s="7" t="n"/>
      <c r="S209" s="7" t="n"/>
      <c r="T209" s="12" t="n"/>
      <c r="U209" s="1" t="n"/>
      <c r="V209" s="1" t="n"/>
    </row>
    <row r="210" ht="12" customHeight="1" s="195">
      <c r="A210" s="174" t="n">
        <v>16000</v>
      </c>
      <c r="B210" s="185" t="inlineStr">
        <is>
          <t>ELECTRICAL BASE (NO FA)</t>
        </is>
      </c>
      <c r="C210" s="186" t="n"/>
      <c r="D210" s="127" t="n">
        <v>1</v>
      </c>
      <c r="E210" s="128" t="inlineStr">
        <is>
          <t>SUB</t>
        </is>
      </c>
      <c r="F210" s="128" t="n"/>
      <c r="G210" s="129" t="n"/>
      <c r="H210" s="129" t="n"/>
      <c r="I210" s="207" t="n">
        <v>105097</v>
      </c>
      <c r="J210" s="130" t="n"/>
      <c r="K210" s="130" t="n"/>
      <c r="L210" s="100" t="n"/>
      <c r="M210" s="1">
        <f>IF(N210&gt;0,ROUND(N210/$M$10,0),0)</f>
        <v/>
      </c>
      <c r="N210" s="1">
        <f>(G210*D210)</f>
        <v/>
      </c>
      <c r="O210" s="7">
        <f>(N210*$O$10)</f>
        <v/>
      </c>
      <c r="P210" s="1">
        <f>(H210*D210)</f>
        <v/>
      </c>
      <c r="Q210" s="1">
        <f>(I210*D210)</f>
        <v/>
      </c>
      <c r="R210" s="1">
        <f>(J210*D210)</f>
        <v/>
      </c>
      <c r="S210" s="7">
        <f>(K210*D210)</f>
        <v/>
      </c>
      <c r="T210" s="12">
        <f>SUM(N210:S210)</f>
        <v/>
      </c>
      <c r="U210" s="1" t="n"/>
      <c r="V210" s="1" t="n"/>
    </row>
    <row r="211" ht="12" customHeight="1" s="195">
      <c r="A211" s="174" t="n">
        <v>16500</v>
      </c>
      <c r="B211" s="185" t="inlineStr">
        <is>
          <t>LIGHTING</t>
        </is>
      </c>
      <c r="C211" s="186" t="n"/>
      <c r="D211" s="127" t="n">
        <v>1</v>
      </c>
      <c r="E211" s="128" t="inlineStr">
        <is>
          <t>SUB</t>
        </is>
      </c>
      <c r="F211" s="128" t="n"/>
      <c r="G211" s="129" t="n"/>
      <c r="H211" s="129" t="n"/>
      <c r="I211" s="205" t="n">
        <v>50000</v>
      </c>
      <c r="J211" s="130" t="n"/>
      <c r="K211" s="130" t="n"/>
      <c r="L211" s="100" t="n"/>
      <c r="M211" s="1">
        <f>IF(N211&gt;0,ROUND(N211/$M$10,0),0)</f>
        <v/>
      </c>
      <c r="N211" s="1">
        <f>(G211*D211)</f>
        <v/>
      </c>
      <c r="O211" s="7">
        <f>(N211*$O$10)</f>
        <v/>
      </c>
      <c r="P211" s="1">
        <f>(H211*D211)</f>
        <v/>
      </c>
      <c r="Q211" s="1">
        <f>(I211*D211)</f>
        <v/>
      </c>
      <c r="R211" s="1">
        <f>(J211*D211)</f>
        <v/>
      </c>
      <c r="S211" s="7">
        <f>(K211*D211)</f>
        <v/>
      </c>
      <c r="T211" s="12">
        <f>SUM(N211:S211)</f>
        <v/>
      </c>
      <c r="U211" s="1" t="n"/>
      <c r="V211" s="1" t="n"/>
    </row>
    <row r="212" ht="12" customHeight="1" s="195">
      <c r="A212" s="174" t="n">
        <v>16700</v>
      </c>
      <c r="B212" s="185" t="inlineStr">
        <is>
          <t>COMMUNICATIONS / DATA</t>
        </is>
      </c>
      <c r="C212" s="186" t="n"/>
      <c r="D212" s="127" t="n">
        <v>1</v>
      </c>
      <c r="E212" s="128" t="inlineStr">
        <is>
          <t>SUB</t>
        </is>
      </c>
      <c r="F212" s="128" t="n"/>
      <c r="G212" s="129" t="n"/>
      <c r="H212" s="129" t="n"/>
      <c r="I212" s="205" t="n">
        <v>31000</v>
      </c>
      <c r="J212" s="130" t="n"/>
      <c r="K212" s="130" t="n"/>
      <c r="L212" s="100" t="n"/>
      <c r="M212" s="1">
        <f>IF(N212&gt;0,ROUND(N212/$M$10,0),0)</f>
        <v/>
      </c>
      <c r="N212" s="1">
        <f>(G212*D212)</f>
        <v/>
      </c>
      <c r="O212" s="7">
        <f>(N212*$O$10)</f>
        <v/>
      </c>
      <c r="P212" s="1">
        <f>(H212*D212)</f>
        <v/>
      </c>
      <c r="Q212" s="1">
        <f>(I212*D212)</f>
        <v/>
      </c>
      <c r="R212" s="1">
        <f>(J212*D212)</f>
        <v/>
      </c>
      <c r="S212" s="7">
        <f>(K212*D212)</f>
        <v/>
      </c>
      <c r="T212" s="12">
        <f>SUM(N212:S212)</f>
        <v/>
      </c>
      <c r="U212" s="1" t="n"/>
      <c r="V212" s="1" t="n"/>
    </row>
    <row r="213" ht="12" customHeight="1" s="195">
      <c r="A213" s="174" t="n">
        <v>16000</v>
      </c>
      <c r="B213" s="185" t="inlineStr">
        <is>
          <t xml:space="preserve">ELECTRICAL </t>
        </is>
      </c>
      <c r="C213" s="186" t="n"/>
      <c r="D213" s="127" t="n">
        <v>1</v>
      </c>
      <c r="E213" s="128" t="inlineStr">
        <is>
          <t>SUB</t>
        </is>
      </c>
      <c r="F213" s="128" t="n"/>
      <c r="G213" s="129" t="n"/>
      <c r="H213" s="129" t="n"/>
      <c r="I213" s="162" t="n"/>
      <c r="J213" s="130" t="n"/>
      <c r="K213" s="130" t="n"/>
      <c r="L213" s="100" t="n"/>
      <c r="M213" s="1">
        <f>IF(N213&gt;0,ROUND(N213/$M$10,0),0)</f>
        <v/>
      </c>
      <c r="N213" s="1">
        <f>(G213*D213)</f>
        <v/>
      </c>
      <c r="O213" s="7">
        <f>(N213*$O$10)</f>
        <v/>
      </c>
      <c r="P213" s="1">
        <f>(H213*D213)</f>
        <v/>
      </c>
      <c r="Q213" s="1">
        <f>(I213*D213)</f>
        <v/>
      </c>
      <c r="R213" s="1">
        <f>(J213*D213)</f>
        <v/>
      </c>
      <c r="S213" s="7">
        <f>(K213*D213)</f>
        <v/>
      </c>
      <c r="T213" s="12">
        <f>SUM(N213:S213)</f>
        <v/>
      </c>
      <c r="U213" s="1" t="n"/>
      <c r="V213" s="1" t="n"/>
    </row>
    <row r="214" ht="12" customHeight="1" s="195">
      <c r="A214" s="174" t="n">
        <v>16000</v>
      </c>
      <c r="B214" s="185" t="inlineStr">
        <is>
          <t xml:space="preserve">ELECTRICAL </t>
        </is>
      </c>
      <c r="C214" s="186" t="n"/>
      <c r="D214" s="127" t="n">
        <v>1</v>
      </c>
      <c r="E214" s="128" t="inlineStr">
        <is>
          <t>SUB</t>
        </is>
      </c>
      <c r="F214" s="128" t="n"/>
      <c r="G214" s="129" t="n"/>
      <c r="H214" s="129" t="n"/>
      <c r="I214" s="162" t="n"/>
      <c r="J214" s="130" t="n"/>
      <c r="K214" s="130" t="n"/>
      <c r="L214" s="100" t="n"/>
      <c r="M214" s="1">
        <f>IF(N214&gt;0,ROUND(N214/$M$10,0),0)</f>
        <v/>
      </c>
      <c r="N214" s="1">
        <f>(G214*D214)</f>
        <v/>
      </c>
      <c r="O214" s="7">
        <f>(N214*$O$10)</f>
        <v/>
      </c>
      <c r="P214" s="1">
        <f>(H214*D214)</f>
        <v/>
      </c>
      <c r="Q214" s="1">
        <f>(I214*D214)</f>
        <v/>
      </c>
      <c r="R214" s="1">
        <f>(J214*D214)</f>
        <v/>
      </c>
      <c r="S214" s="7">
        <f>(K214*D214)</f>
        <v/>
      </c>
      <c r="T214" s="12">
        <f>SUM(N214:S214)</f>
        <v/>
      </c>
      <c r="U214" s="1" t="n"/>
      <c r="V214" s="1" t="n"/>
    </row>
    <row r="215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1" t="n"/>
      <c r="N215" s="1" t="n"/>
      <c r="O215" s="7" t="n"/>
      <c r="P215" s="1" t="n"/>
      <c r="Q215" s="1" t="n"/>
      <c r="R215" s="7" t="n"/>
      <c r="S215" s="7" t="n"/>
      <c r="T215" s="12" t="n"/>
      <c r="U215" s="1" t="n"/>
      <c r="V215" s="1" t="n"/>
    </row>
    <row r="216" ht="10" customHeight="1" s="195">
      <c r="A216" s="114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3">
        <f>SUM(M209:M215)</f>
        <v/>
      </c>
      <c r="N216" s="93">
        <f>SUM(N209:N215)</f>
        <v/>
      </c>
      <c r="O216" s="95">
        <f>SUM(O209:O215)</f>
        <v/>
      </c>
      <c r="P216" s="93">
        <f>SUM(P209:P215)</f>
        <v/>
      </c>
      <c r="Q216" s="93">
        <f>SUM(Q209:Q215)</f>
        <v/>
      </c>
      <c r="R216" s="95">
        <f>SUM(R209:R215)</f>
        <v/>
      </c>
      <c r="S216" s="95">
        <f>SUM(S209:S215)</f>
        <v/>
      </c>
      <c r="T216" s="98">
        <f>SUM(T209:T215)</f>
        <v/>
      </c>
      <c r="U216" s="203" t="n">
        <v>0</v>
      </c>
      <c r="V216" s="203" t="n">
        <v>0</v>
      </c>
    </row>
    <row r="217" ht="10" customHeight="1" s="195">
      <c r="A217" s="109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1" t="n"/>
      <c r="N217" s="1" t="n"/>
      <c r="O217" s="7" t="n"/>
      <c r="P217" s="1" t="n"/>
      <c r="Q217" s="1" t="n"/>
      <c r="R217" s="7" t="n"/>
      <c r="S217" s="7" t="n"/>
      <c r="T217" s="12" t="n"/>
      <c r="U217" s="1" t="n"/>
      <c r="V217" s="1" t="n"/>
    </row>
    <row r="218" ht="12" customHeight="1" s="195">
      <c r="A218" s="131" t="n">
        <v>16400</v>
      </c>
      <c r="B218" s="185" t="inlineStr">
        <is>
          <t>CARD ACCESS SYSTEM</t>
        </is>
      </c>
      <c r="C218" s="186" t="n"/>
      <c r="D218" s="127" t="n">
        <v>1</v>
      </c>
      <c r="E218" s="128" t="inlineStr">
        <is>
          <t>SUB</t>
        </is>
      </c>
      <c r="F218" s="128" t="n"/>
      <c r="G218" s="129" t="n"/>
      <c r="H218" s="129" t="n"/>
      <c r="I218" s="205" t="n">
        <v>31000</v>
      </c>
      <c r="J218" s="130" t="n"/>
      <c r="K218" s="130" t="n"/>
      <c r="L218" s="100" t="n"/>
      <c r="M218" s="1">
        <f>IF(N218&gt;0,ROUND(N218/$M$10,0),0)</f>
        <v/>
      </c>
      <c r="N218" s="1">
        <f>(G218*D218)</f>
        <v/>
      </c>
      <c r="O218" s="7">
        <f>(N218*$O$10)</f>
        <v/>
      </c>
      <c r="P218" s="1">
        <f>(H218*D218)</f>
        <v/>
      </c>
      <c r="Q218" s="1">
        <f>(I218*D218)</f>
        <v/>
      </c>
      <c r="R218" s="1">
        <f>(J218*D218)</f>
        <v/>
      </c>
      <c r="S218" s="7">
        <f>(K218*D218)</f>
        <v/>
      </c>
      <c r="T218" s="12">
        <f>SUM(N218:S218)</f>
        <v/>
      </c>
      <c r="U218" s="1" t="n"/>
      <c r="V218" s="1" t="n"/>
    </row>
    <row r="219" ht="12" customHeight="1" s="195">
      <c r="A219" s="131" t="n">
        <v>16500</v>
      </c>
      <c r="B219" s="185" t="inlineStr">
        <is>
          <t>SECURITY SYSTEM</t>
        </is>
      </c>
      <c r="C219" s="186" t="n"/>
      <c r="D219" s="127" t="n">
        <v>1</v>
      </c>
      <c r="E219" s="128" t="inlineStr">
        <is>
          <t>SUB</t>
        </is>
      </c>
      <c r="F219" s="128" t="n"/>
      <c r="G219" s="129" t="n"/>
      <c r="H219" s="129" t="n"/>
      <c r="I219" s="129" t="n"/>
      <c r="J219" s="130" t="n"/>
      <c r="K219" s="130" t="n"/>
      <c r="L219" s="100" t="n"/>
      <c r="M219" s="1">
        <f>IF(N219&gt;0,ROUND(N219/$M$10,0),0)</f>
        <v/>
      </c>
      <c r="N219" s="1">
        <f>(G219*D219)</f>
        <v/>
      </c>
      <c r="O219" s="7">
        <f>(N219*$O$10)</f>
        <v/>
      </c>
      <c r="P219" s="1">
        <f>(H219*D219)</f>
        <v/>
      </c>
      <c r="Q219" s="1">
        <f>(I219*D219)</f>
        <v/>
      </c>
      <c r="R219" s="1">
        <f>(J219*D219)</f>
        <v/>
      </c>
      <c r="S219" s="7">
        <f>(K219*D219)</f>
        <v/>
      </c>
      <c r="T219" s="12">
        <f>SUM(N219:S219)</f>
        <v/>
      </c>
      <c r="U219" s="1" t="n"/>
      <c r="V219" s="1" t="n"/>
    </row>
    <row r="220" ht="12" customHeight="1" s="195">
      <c r="A220" s="131" t="n">
        <v>16900</v>
      </c>
      <c r="B220" s="185" t="inlineStr">
        <is>
          <t>LOW VOLTAGE PATHWAYS ALLOWANCE</t>
        </is>
      </c>
      <c r="C220" s="186" t="n"/>
      <c r="D220" s="127" t="n">
        <v>1</v>
      </c>
      <c r="E220" s="128" t="inlineStr">
        <is>
          <t>LS</t>
        </is>
      </c>
      <c r="F220" s="128" t="n"/>
      <c r="G220" s="129" t="n"/>
      <c r="H220" s="129" t="n"/>
      <c r="I220" s="205" t="n">
        <v>31000</v>
      </c>
      <c r="J220" s="130" t="n"/>
      <c r="K220" s="130" t="n"/>
      <c r="L220" s="100" t="n"/>
      <c r="M220" s="1">
        <f>IF(N220&gt;0,ROUND(N220/$M$10,0),0)</f>
        <v/>
      </c>
      <c r="N220" s="1">
        <f>(G220*D220)</f>
        <v/>
      </c>
      <c r="O220" s="7">
        <f>(N220*$O$10)</f>
        <v/>
      </c>
      <c r="P220" s="1">
        <f>(H220*D220)</f>
        <v/>
      </c>
      <c r="Q220" s="1">
        <f>(I220*D220)</f>
        <v/>
      </c>
      <c r="R220" s="1">
        <f>(J220*D220)</f>
        <v/>
      </c>
      <c r="S220" s="7">
        <f>(K220*D220)</f>
        <v/>
      </c>
      <c r="T220" s="12">
        <f>SUM(N220:S220)</f>
        <v/>
      </c>
      <c r="U220" s="1" t="n"/>
      <c r="V220" s="1" t="n"/>
    </row>
    <row r="221" ht="12" customHeight="1" s="195">
      <c r="A221" s="131" t="n">
        <v>16950</v>
      </c>
      <c r="B221" s="185" t="inlineStr">
        <is>
          <t>FIRE ALARM + PERMIT</t>
        </is>
      </c>
      <c r="C221" s="186" t="n"/>
      <c r="D221" s="127" t="n">
        <v>1</v>
      </c>
      <c r="E221" s="128" t="inlineStr">
        <is>
          <t>SUB</t>
        </is>
      </c>
      <c r="F221" s="128" t="n"/>
      <c r="G221" s="129" t="n"/>
      <c r="H221" s="129" t="n"/>
      <c r="I221" s="205" t="n">
        <v>31000</v>
      </c>
      <c r="J221" s="130" t="n"/>
      <c r="K221" s="130" t="n"/>
      <c r="L221" s="100" t="n"/>
      <c r="M221" s="1">
        <f>IF(N221&gt;0,ROUND(N221/$M$10,0),0)</f>
        <v/>
      </c>
      <c r="N221" s="1">
        <f>(G221*D221)</f>
        <v/>
      </c>
      <c r="O221" s="7">
        <f>(N221*$O$10)</f>
        <v/>
      </c>
      <c r="P221" s="1">
        <f>(H221*D221)</f>
        <v/>
      </c>
      <c r="Q221" s="1">
        <f>(I221*D221)</f>
        <v/>
      </c>
      <c r="R221" s="1">
        <f>(J221*D221)</f>
        <v/>
      </c>
      <c r="S221" s="7">
        <f>(K221*D221)</f>
        <v/>
      </c>
      <c r="T221" s="12">
        <f>SUM(N221:S221)</f>
        <v/>
      </c>
      <c r="U221" s="1" t="n"/>
      <c r="V221" s="1" t="n"/>
    </row>
    <row r="222" ht="12" customHeight="1" s="195">
      <c r="A222" s="131" t="n">
        <v>16900</v>
      </c>
      <c r="B222" s="176" t="inlineStr">
        <is>
          <t>SPECIAL SYSTEMS</t>
        </is>
      </c>
      <c r="C222" s="185" t="n"/>
      <c r="D222" s="127" t="n">
        <v>1</v>
      </c>
      <c r="E222" s="128" t="inlineStr">
        <is>
          <t>SUB</t>
        </is>
      </c>
      <c r="F222" s="128" t="n"/>
      <c r="G222" s="129" t="n"/>
      <c r="H222" s="129" t="n"/>
      <c r="I222" s="129" t="n"/>
      <c r="J222" s="130" t="n"/>
      <c r="K222" s="130" t="n"/>
      <c r="L222" s="100" t="n"/>
      <c r="M222" s="1">
        <f>IF(N222&gt;0,ROUND(N222/$M$10,0),0)</f>
        <v/>
      </c>
      <c r="N222" s="1">
        <f>(G222*D222)</f>
        <v/>
      </c>
      <c r="O222" s="7">
        <f>(N222*$O$10)</f>
        <v/>
      </c>
      <c r="P222" s="1">
        <f>(H222*D222)</f>
        <v/>
      </c>
      <c r="Q222" s="1">
        <f>(I222*D222)</f>
        <v/>
      </c>
      <c r="R222" s="1">
        <f>(J222*D222)</f>
        <v/>
      </c>
      <c r="S222" s="7">
        <f>(K222*D222)</f>
        <v/>
      </c>
      <c r="T222" s="12">
        <f>SUM(N222:S222)</f>
        <v/>
      </c>
      <c r="U222" s="1" t="n"/>
      <c r="V222" s="1" t="n"/>
    </row>
    <row r="223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1" t="n"/>
      <c r="N223" s="1" t="n"/>
      <c r="O223" s="7" t="n"/>
      <c r="P223" s="1" t="n"/>
      <c r="Q223" s="1" t="n"/>
      <c r="R223" s="7" t="n"/>
      <c r="S223" s="7" t="n"/>
      <c r="T223" s="12" t="n"/>
      <c r="U223" s="1" t="n"/>
      <c r="V223" s="1" t="n"/>
    </row>
    <row r="224" ht="10" customHeight="1" s="195">
      <c r="A224" s="114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3">
        <f>SUM(M217:M223)</f>
        <v/>
      </c>
      <c r="N224" s="93">
        <f>SUM(N217:N223)</f>
        <v/>
      </c>
      <c r="O224" s="95">
        <f>SUM(O217:O223)</f>
        <v/>
      </c>
      <c r="P224" s="93">
        <f>SUM(P217:P223)</f>
        <v/>
      </c>
      <c r="Q224" s="93">
        <f>SUM(Q217:Q223)</f>
        <v/>
      </c>
      <c r="R224" s="95">
        <f>SUM(R217:R223)</f>
        <v/>
      </c>
      <c r="S224" s="95">
        <f>SUM(S217:S223)</f>
        <v/>
      </c>
      <c r="T224" s="98">
        <f>SUM(T217:T223)</f>
        <v/>
      </c>
      <c r="U224" s="203" t="n">
        <v>0</v>
      </c>
      <c r="V224" s="203" t="n">
        <v>0</v>
      </c>
    </row>
    <row r="225" ht="10" customHeight="1" s="195">
      <c r="A225" s="109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1" t="n"/>
      <c r="N225" s="1" t="n"/>
      <c r="O225" s="7" t="n"/>
      <c r="P225" s="1" t="n"/>
      <c r="Q225" s="1" t="n"/>
      <c r="R225" s="7" t="n"/>
      <c r="S225" s="7" t="n"/>
      <c r="T225" s="1" t="n"/>
      <c r="U225" s="1" t="n"/>
      <c r="V225" s="1" t="n"/>
    </row>
    <row r="226" ht="15" customHeight="1" s="195">
      <c r="A226" s="114" t="inlineStr">
        <is>
          <t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3">
        <f>ROUND(SUM(M12:M224)/2,0)-M15</f>
        <v/>
      </c>
      <c r="N226" s="93">
        <f>ROUND(SUM(N12:N224)/2,0)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203" t="n">
        <v>1</v>
      </c>
      <c r="V226" s="203" t="n">
        <v>56254</v>
      </c>
    </row>
    <row r="227" ht="10" customHeight="1" s="195">
      <c r="A227" s="109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1" t="n"/>
      <c r="N227" s="1" t="n"/>
      <c r="O227" s="7" t="n"/>
      <c r="P227" s="1" t="n"/>
      <c r="Q227" s="1" t="n"/>
      <c r="R227" s="7" t="n"/>
      <c r="S227" s="7" t="n"/>
      <c r="T227" s="12" t="n"/>
      <c r="U227" s="1" t="n"/>
      <c r="V227" s="1" t="n"/>
    </row>
    <row r="228" ht="12" customHeight="1" s="195">
      <c r="A228" s="132" t="n">
        <v>0</v>
      </c>
      <c r="B228" s="185" t="inlineStr">
        <is>
          <t>CONTINGENCY</t>
        </is>
      </c>
      <c r="C228" s="186" t="n"/>
      <c r="D228" s="127" t="n">
        <v>1</v>
      </c>
      <c r="E228" s="128" t="inlineStr">
        <is>
          <t>LS</t>
        </is>
      </c>
      <c r="F228" s="128" t="n"/>
      <c r="G228" s="129" t="n"/>
      <c r="H228" s="129" t="n"/>
      <c r="I228" s="129" t="n"/>
      <c r="J228" s="130" t="n"/>
      <c r="K228" s="203">
        <f>T226*A228</f>
        <v/>
      </c>
      <c r="L228" s="100" t="n"/>
      <c r="M228" s="1">
        <f>IF(N228&gt;0,ROUND(N228/$M$10,0),0)</f>
        <v/>
      </c>
      <c r="N228" s="1">
        <f>ROUND(G228*D228,0)</f>
        <v/>
      </c>
      <c r="O228" s="7">
        <f>ROUND(N228*$O$10,0)</f>
        <v/>
      </c>
      <c r="P228" s="1">
        <f>ROUND(H228*D228,0)</f>
        <v/>
      </c>
      <c r="Q228" s="1">
        <f>ROUND(I228*D228,0)</f>
        <v/>
      </c>
      <c r="R228" s="1">
        <f>ROUND(J228*D228,0)</f>
        <v/>
      </c>
      <c r="S228" s="7">
        <f>ROUND(K228*D228,0)</f>
        <v/>
      </c>
      <c r="T228" s="12">
        <f>SUM(N228:S228)</f>
        <v/>
      </c>
      <c r="U228" s="1" t="n"/>
      <c r="V228" s="1" t="n"/>
    </row>
    <row r="229" ht="12" customHeight="1" s="195">
      <c r="A229" s="132" t="n">
        <v>0.02</v>
      </c>
      <c r="B229" s="185" t="inlineStr">
        <is>
          <t>TAXES &amp; INSURANCE</t>
        </is>
      </c>
      <c r="C229" s="186" t="n"/>
      <c r="D229" s="127" t="n">
        <v>1</v>
      </c>
      <c r="E229" s="128" t="inlineStr">
        <is>
          <t>LS</t>
        </is>
      </c>
      <c r="F229" s="128" t="n"/>
      <c r="G229" s="129" t="n"/>
      <c r="H229" s="129" t="n"/>
      <c r="I229" s="129" t="n"/>
      <c r="J229" s="130" t="n"/>
      <c r="K229" s="203">
        <f>(T228+T226)*A229</f>
        <v/>
      </c>
      <c r="L229" s="100" t="n"/>
      <c r="M229" s="1">
        <f>IF(N229&gt;0,ROUND(N229/$M$10,0),0)</f>
        <v/>
      </c>
      <c r="N229" s="1">
        <f>ROUND(G229*D229,0)</f>
        <v/>
      </c>
      <c r="O229" s="7">
        <f>ROUND(N229*$O$10,0)</f>
        <v/>
      </c>
      <c r="P229" s="1">
        <f>ROUND(H229*D229,0)</f>
        <v/>
      </c>
      <c r="Q229" s="1">
        <f>ROUND(I229*D229,0)</f>
        <v/>
      </c>
      <c r="R229" s="1">
        <f>ROUND(J229*D229,0)</f>
        <v/>
      </c>
      <c r="S229" s="7">
        <f>ROUND(K229*D229,0)</f>
        <v/>
      </c>
      <c r="T229" s="12">
        <f>SUM(N229:S229)</f>
        <v/>
      </c>
      <c r="U229" s="1" t="n"/>
      <c r="V229" s="1" t="n"/>
    </row>
    <row r="230" ht="12" customHeight="1" s="195">
      <c r="A230" s="132" t="n">
        <v>0.05</v>
      </c>
      <c r="B230" s="185" t="inlineStr">
        <is>
          <t>CONTRACTORS FEE</t>
        </is>
      </c>
      <c r="C230" s="186" t="n"/>
      <c r="D230" s="127" t="n">
        <v>1</v>
      </c>
      <c r="E230" s="128" t="inlineStr">
        <is>
          <t>LS</t>
        </is>
      </c>
      <c r="F230" s="128" t="n"/>
      <c r="G230" s="129" t="n"/>
      <c r="H230" s="129" t="n"/>
      <c r="I230" s="129" t="n"/>
      <c r="J230" s="130" t="n"/>
      <c r="K230" s="203">
        <f>(T228+T226+T229)*A230</f>
        <v/>
      </c>
      <c r="L230" s="100" t="n"/>
      <c r="M230" s="1">
        <f>IF(N230&gt;0,ROUND(N230/$M$10,0),0)</f>
        <v/>
      </c>
      <c r="N230" s="1">
        <f>ROUND(G230*D230,0)</f>
        <v/>
      </c>
      <c r="O230" s="7">
        <f>ROUND(N230*$O$10,0)</f>
        <v/>
      </c>
      <c r="P230" s="1">
        <f>ROUND(H230*D230,0)</f>
        <v/>
      </c>
      <c r="Q230" s="1">
        <f>ROUND(I230*D230,0)</f>
        <v/>
      </c>
      <c r="R230" s="1">
        <f>ROUND(J230*D230,0)</f>
        <v/>
      </c>
      <c r="S230" s="7">
        <f>ROUND(K230*D230,0)</f>
        <v/>
      </c>
      <c r="T230" s="12">
        <f>SUM(N230:S230)</f>
        <v/>
      </c>
      <c r="U230" s="1" t="n"/>
      <c r="V230" s="1" t="n"/>
    </row>
    <row r="231" ht="5" customHeight="1" s="195">
      <c r="A231" s="109" t="n"/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1" t="n"/>
      <c r="N231" s="1" t="n"/>
      <c r="O231" s="7" t="n"/>
      <c r="P231" s="1" t="n"/>
      <c r="Q231" s="1" t="n"/>
      <c r="R231" s="7" t="n"/>
      <c r="S231" s="7" t="n"/>
      <c r="T231" s="12" t="n"/>
      <c r="U231" s="1" t="n"/>
      <c r="V231" s="1" t="n"/>
    </row>
    <row r="232" ht="15" customHeight="1" s="195">
      <c r="A232" s="114" t="n"/>
      <c r="B232" s="93" t="inlineStr">
        <is>
          <t>GRAND TOTAL (excludes Washington State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3">
        <f>SUM(M226:M231)</f>
        <v/>
      </c>
      <c r="N232" s="93">
        <f>SUM(N226:N230)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203" t="n">
        <v>1</v>
      </c>
      <c r="V232" s="203" t="n">
        <v>56254</v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7" t="n"/>
      <c r="P233" s="1" t="n"/>
      <c r="Q233" s="1" t="n"/>
      <c r="R233" s="7" t="n"/>
      <c r="S233" s="7" t="n"/>
      <c r="T233" s="1" t="n"/>
      <c r="U233" s="1" t="n"/>
      <c r="V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7" t="n"/>
      <c r="P234" s="1" t="n"/>
      <c r="Q234" s="1" t="n"/>
      <c r="R234" s="7" t="n"/>
      <c r="S234" s="7" t="n"/>
      <c r="T234" s="1" t="n"/>
      <c r="U234" s="1" t="n"/>
      <c r="V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18" t="n"/>
      <c r="N235" s="97" t="n"/>
      <c r="O235" s="7" t="n"/>
      <c r="P235" s="97" t="n"/>
      <c r="Q235" s="1" t="n"/>
      <c r="R235" s="7" t="n"/>
      <c r="S235" s="7" t="n"/>
      <c r="T235" s="1" t="n"/>
      <c r="U235" s="1" t="n"/>
      <c r="V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7" t="n"/>
      <c r="P236" s="1" t="n"/>
      <c r="Q236" s="1" t="n"/>
      <c r="R236" s="7" t="n"/>
      <c r="S236" s="7" t="n"/>
      <c r="T236" s="1" t="n"/>
      <c r="U236" s="1" t="n"/>
      <c r="V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7" t="n"/>
      <c r="P237" s="1" t="n"/>
      <c r="Q237" s="1" t="n"/>
      <c r="R237" s="7" t="n"/>
      <c r="S237" s="7" t="n"/>
      <c r="T237" s="1" t="n"/>
      <c r="U237" s="1" t="n"/>
      <c r="V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7" t="n"/>
      <c r="P238" s="1" t="n"/>
      <c r="Q238" s="1" t="n"/>
      <c r="R238" s="7" t="n"/>
      <c r="S238" s="7" t="n"/>
      <c r="T238" s="1" t="n"/>
      <c r="U238" s="1" t="n"/>
      <c r="V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7" t="n"/>
      <c r="P239" s="1" t="n"/>
      <c r="Q239" s="1" t="n"/>
      <c r="R239" s="7" t="n"/>
      <c r="S239" s="7" t="n"/>
      <c r="T239" s="1" t="n"/>
      <c r="U239" s="1" t="n"/>
      <c r="V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7" t="n"/>
      <c r="P240" s="1" t="n"/>
      <c r="Q240" s="1" t="n"/>
      <c r="R240" s="7" t="n"/>
      <c r="S240" s="7" t="n"/>
      <c r="T240" s="1" t="n"/>
      <c r="U240" s="1" t="n"/>
      <c r="V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7" t="n"/>
      <c r="P241" s="1" t="n"/>
      <c r="Q241" s="1" t="n"/>
      <c r="R241" s="7" t="n"/>
      <c r="S241" s="7" t="n"/>
      <c r="T241" s="1" t="n"/>
      <c r="U241" s="1" t="n"/>
      <c r="V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7" t="n"/>
      <c r="P242" s="1" t="n"/>
      <c r="Q242" s="1" t="n"/>
      <c r="R242" s="7" t="n"/>
      <c r="S242" s="7" t="n"/>
      <c r="T242" s="1" t="n"/>
      <c r="U242" s="1" t="n"/>
      <c r="V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7" t="n"/>
      <c r="P243" s="1" t="n"/>
      <c r="Q243" s="1" t="n"/>
      <c r="R243" s="7" t="n"/>
      <c r="S243" s="7" t="n"/>
      <c r="T243" s="1" t="n"/>
      <c r="U243" s="1" t="n"/>
      <c r="V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7" t="n"/>
      <c r="P244" s="1" t="n"/>
      <c r="Q244" s="1" t="n"/>
      <c r="R244" s="7" t="n"/>
      <c r="S244" s="7" t="n"/>
      <c r="T244" s="1" t="n"/>
      <c r="U244" s="1" t="n"/>
      <c r="V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7" t="n"/>
      <c r="P245" s="1" t="n"/>
      <c r="Q245" s="1" t="n"/>
      <c r="R245" s="7" t="n"/>
      <c r="S245" s="7" t="n"/>
      <c r="T245" s="1" t="n"/>
      <c r="U245" s="1" t="n"/>
      <c r="V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7" t="n"/>
      <c r="P246" s="1" t="n"/>
      <c r="Q246" s="1" t="n"/>
      <c r="R246" s="7" t="n"/>
      <c r="S246" s="7" t="n"/>
      <c r="T246" s="1" t="n"/>
      <c r="U246" s="1" t="n"/>
      <c r="V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7" t="n"/>
      <c r="P247" s="1" t="n"/>
      <c r="Q247" s="1" t="n"/>
      <c r="R247" s="7" t="n"/>
      <c r="S247" s="7" t="n"/>
      <c r="T247" s="1" t="n"/>
      <c r="U247" s="1" t="n"/>
      <c r="V247" s="1" t="n"/>
    </row>
  </sheetData>
  <mergeCells count="119">
    <mergeCell ref="B91:C91"/>
    <mergeCell ref="B165:C165"/>
    <mergeCell ref="B155:C155"/>
    <mergeCell ref="B115:C115"/>
    <mergeCell ref="B93:C93"/>
    <mergeCell ref="B31:C31"/>
    <mergeCell ref="B151:C151"/>
    <mergeCell ref="B14:C14"/>
    <mergeCell ref="O6:R6"/>
    <mergeCell ref="B13:C13"/>
    <mergeCell ref="B182:C182"/>
    <mergeCell ref="B69:C69"/>
    <mergeCell ref="B205:C205"/>
    <mergeCell ref="B178:C178"/>
    <mergeCell ref="B127:C127"/>
    <mergeCell ref="B211:C211"/>
    <mergeCell ref="B33:C33"/>
    <mergeCell ref="B104:C104"/>
    <mergeCell ref="B164:C164"/>
    <mergeCell ref="B32:C32"/>
    <mergeCell ref="B197:C197"/>
    <mergeCell ref="B212:C212"/>
    <mergeCell ref="B154:C154"/>
    <mergeCell ref="B206:C206"/>
    <mergeCell ref="B106:C106"/>
    <mergeCell ref="B129:C129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7:C117"/>
    <mergeCell ref="O3:R3"/>
    <mergeCell ref="B179:C179"/>
    <mergeCell ref="B132:C132"/>
    <mergeCell ref="B119:C119"/>
    <mergeCell ref="B116:C116"/>
    <mergeCell ref="B29:C29"/>
    <mergeCell ref="B103:C103"/>
    <mergeCell ref="B196:C196"/>
    <mergeCell ref="B186:C186"/>
    <mergeCell ref="B230:C230"/>
    <mergeCell ref="B118:C118"/>
    <mergeCell ref="B15:C15"/>
    <mergeCell ref="B142:C142"/>
    <mergeCell ref="B213:C213"/>
    <mergeCell ref="B160:C160"/>
    <mergeCell ref="B169:C169"/>
    <mergeCell ref="B144:C144"/>
    <mergeCell ref="B153:C153"/>
    <mergeCell ref="B125:C125"/>
    <mergeCell ref="B72:C72"/>
    <mergeCell ref="B134:C134"/>
    <mergeCell ref="B81:C81"/>
    <mergeCell ref="B194:C194"/>
    <mergeCell ref="B121:C121"/>
    <mergeCell ref="O2:R2"/>
    <mergeCell ref="B122:C122"/>
    <mergeCell ref="B56:C56"/>
    <mergeCell ref="B71:C71"/>
    <mergeCell ref="B105:C105"/>
    <mergeCell ref="B214:C214"/>
    <mergeCell ref="B58:C58"/>
    <mergeCell ref="B43:C43"/>
    <mergeCell ref="B228:C228"/>
    <mergeCell ref="B210:C210"/>
    <mergeCell ref="B120:C120"/>
    <mergeCell ref="B42:C42"/>
    <mergeCell ref="B17:C17"/>
    <mergeCell ref="B57:C57"/>
    <mergeCell ref="B170:C170"/>
    <mergeCell ref="B82:C82"/>
    <mergeCell ref="B162:C162"/>
    <mergeCell ref="B171:C171"/>
    <mergeCell ref="B44:C44"/>
    <mergeCell ref="B19:C19"/>
    <mergeCell ref="B172:C172"/>
    <mergeCell ref="B146:C146"/>
    <mergeCell ref="B28:C28"/>
    <mergeCell ref="O5:R5"/>
    <mergeCell ref="B187:C187"/>
    <mergeCell ref="B143:C143"/>
    <mergeCell ref="B92:C92"/>
    <mergeCell ref="B30:C30"/>
    <mergeCell ref="O4:R4"/>
    <mergeCell ref="B124:C124"/>
    <mergeCell ref="B133:C133"/>
    <mergeCell ref="B189:C189"/>
    <mergeCell ref="B204:C204"/>
    <mergeCell ref="B45:C45"/>
    <mergeCell ref="B198:C198"/>
    <mergeCell ref="B94:C94"/>
    <mergeCell ref="B188:C188"/>
    <mergeCell ref="B126:C126"/>
    <mergeCell ref="B135:C135"/>
    <mergeCell ref="B218:C218"/>
    <mergeCell ref="B47:C47"/>
    <mergeCell ref="B59:C59"/>
    <mergeCell ref="B190:C190"/>
    <mergeCell ref="B202:C202"/>
    <mergeCell ref="B46:C46"/>
    <mergeCell ref="B152:C152"/>
    <mergeCell ref="B70:C70"/>
    <mergeCell ref="B219:C219"/>
    <mergeCell ref="B161:C161"/>
    <mergeCell ref="B229:C229"/>
    <mergeCell ref="B136:C136"/>
    <mergeCell ref="B145:C145"/>
    <mergeCell ref="B181:C181"/>
    <mergeCell ref="B147:C147"/>
    <mergeCell ref="B137:C137"/>
    <mergeCell ref="B68:C68"/>
    <mergeCell ref="B123:C123"/>
    <mergeCell ref="B163:C163"/>
    <mergeCell ref="B221:C221"/>
    <mergeCell ref="B203:C203"/>
  </mergeCells>
  <pageMargins left="0.25" right="0.72" top="0.13" bottom="0.13" header="0.33" footer="0.5"/>
  <pageSetup orientation="landscape" paperSize="3" scale="88" fitToHeight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 transitionEvaluation="1" transitionEntry="1">
    <outlinePr summaryBelow="1" summaryRight="1"/>
    <pageSetUpPr fitToPage="1"/>
  </sheetPr>
  <dimension ref="A1:U247"/>
  <sheetViews>
    <sheetView defaultGridColor="0" colorId="52" zoomScale="80" zoomScaleNormal="80" workbookViewId="0">
      <pane ySplit="11" topLeftCell="A12" activePane="bottomLeft" state="frozen"/>
      <selection pane="bottomLeft" activeCell="B34" sqref="B34:C34"/>
    </sheetView>
  </sheetViews>
  <sheetFormatPr baseColWidth="10" defaultColWidth="9.75" defaultRowHeight="11"/>
  <cols>
    <col width="12" customWidth="1" style="115" min="1" max="1"/>
    <col width="15" customWidth="1" style="195" min="2" max="2"/>
    <col width="52.75" customWidth="1" style="195" min="3" max="3"/>
    <col hidden="1" width="12.5" customWidth="1" style="195" min="4" max="4"/>
    <col hidden="1" width="6.75" customWidth="1" style="195" min="5" max="5"/>
    <col hidden="1" width="2.5" customWidth="1" style="195" min="6" max="6"/>
    <col hidden="1" width="11.75" customWidth="1" style="195" min="7" max="8"/>
    <col hidden="1" width="13.75" customWidth="1" style="195" min="9" max="9"/>
    <col hidden="1" width="10" customWidth="1" style="195" min="10" max="10"/>
    <col hidden="1" width="11.25" customWidth="1" style="195" min="11" max="11"/>
    <col hidden="1" width="2" customWidth="1" style="195" min="12" max="13"/>
    <col hidden="1" width="9.75" customWidth="1" style="195" min="14" max="14"/>
    <col width="15.75" customWidth="1" style="195" min="15" max="15"/>
    <col width="15.75" customWidth="1" style="197" min="16" max="16"/>
    <col width="15.75" customWidth="1" style="195" min="17" max="18"/>
    <col width="15.75" customWidth="1" style="197" min="19" max="20"/>
    <col width="15.75" customWidth="1" style="195" min="21" max="21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> </t>
        </is>
      </c>
      <c r="J1" s="1" t="n"/>
      <c r="K1" s="1" t="n"/>
      <c r="L1" s="1" t="n"/>
      <c r="M1" s="1" t="n"/>
      <c r="N1" s="1" t="n"/>
      <c r="O1" s="1" t="n"/>
      <c r="P1" s="7" t="n"/>
      <c r="Q1" s="1" t="n"/>
      <c r="R1" s="1" t="n"/>
      <c r="S1" s="7" t="n"/>
      <c r="T1" s="7" t="n"/>
      <c r="U1" s="1" t="n"/>
    </row>
    <row r="2" ht="18" customHeight="1" s="195">
      <c r="A2" s="109" t="n"/>
      <c r="B2" s="1" t="n"/>
      <c r="C2" s="1" t="n"/>
      <c r="D2" s="2" t="n"/>
      <c r="E2" s="2" t="inlineStr">
        <is>
          <t> </t>
        </is>
      </c>
      <c r="F2" s="2" t="n"/>
      <c r="G2" s="1" t="n"/>
      <c r="H2" s="1" t="n"/>
      <c r="I2" s="1" t="n"/>
      <c r="J2" s="1" t="n"/>
      <c r="K2" s="0" t="n"/>
      <c r="L2" s="0" t="n"/>
      <c r="M2" s="0" t="n"/>
      <c r="N2" s="30" t="n"/>
      <c r="O2" s="149" t="inlineStr">
        <is>
          <t>PROJECT</t>
        </is>
      </c>
      <c r="P2" s="196">
        <f>IF('ESTIMATE (INPUT)'!O2="","",'ESTIMATE (INPUT)'!O2)</f>
        <v/>
      </c>
      <c r="T2" s="149" t="inlineStr">
        <is>
          <t>DATE</t>
        </is>
      </c>
      <c r="U2" s="161">
        <f>IF('ESTIMATE (INPUT)'!T2="","",'ESTIMATE (INPUT)'!T2)</f>
        <v/>
      </c>
    </row>
    <row r="3" ht="17.25" customHeight="1" s="195">
      <c r="A3" s="110" t="n"/>
      <c r="B3" s="1" t="n"/>
      <c r="C3" s="122" t="n"/>
      <c r="D3" s="2" t="inlineStr">
        <is>
          <t> </t>
        </is>
      </c>
      <c r="E3" s="2" t="inlineStr">
        <is>
          <t> </t>
        </is>
      </c>
      <c r="F3" s="2" t="n"/>
      <c r="G3" s="1" t="n"/>
      <c r="H3" s="1" t="n"/>
      <c r="I3" s="1" t="n"/>
      <c r="J3" s="1" t="n"/>
      <c r="K3" s="0" t="n"/>
      <c r="L3" s="0" t="n"/>
      <c r="M3" s="0" t="n"/>
      <c r="N3" s="30" t="n"/>
      <c r="O3" s="149" t="inlineStr">
        <is>
          <t>JOB NO.</t>
        </is>
      </c>
      <c r="P3" s="196">
        <f>IF('ESTIMATE (INPUT)'!O3="","",'ESTIMATE (INPUT)'!O3)</f>
        <v/>
      </c>
      <c r="T3" s="149" t="inlineStr">
        <is>
          <t>ESTIMATOR</t>
        </is>
      </c>
      <c r="U3" s="161">
        <f>IF('ESTIMATE (INPUT)'!T3="","",'ESTIMATE (INPUT)'!T3)</f>
        <v/>
      </c>
    </row>
    <row r="4" ht="16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121" t="n"/>
      <c r="I4" s="1" t="n"/>
      <c r="J4" s="1" t="n"/>
      <c r="K4" s="0" t="n"/>
      <c r="L4" s="0" t="n"/>
      <c r="M4" s="0" t="n"/>
      <c r="N4" s="3" t="n"/>
      <c r="O4" s="149" t="inlineStr">
        <is>
          <t>LOCATION</t>
        </is>
      </c>
      <c r="P4" s="196">
        <f>IF('ESTIMATE (INPUT)'!O4="","",'ESTIMATE (INPUT)'!O4)</f>
        <v/>
      </c>
      <c r="T4" s="96" t="n"/>
      <c r="U4" s="108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3" t="n"/>
      <c r="O5" s="4" t="n"/>
      <c r="P5" s="196">
        <f>IF('ESTIMATE (INPUT)'!O5="","",'ESTIMATE (INPUT)'!O5)</f>
        <v/>
      </c>
      <c r="T5" s="7" t="n"/>
      <c r="U5" s="5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101">
        <f>U232/H4</f>
        <v/>
      </c>
      <c r="I6" s="1" t="n"/>
      <c r="J6" s="1" t="n"/>
      <c r="K6" s="3" t="n"/>
      <c r="L6" s="3" t="n"/>
      <c r="M6" s="3" t="n"/>
      <c r="N6" s="163" t="n"/>
      <c r="O6" s="164" t="n"/>
      <c r="P6" s="196">
        <f>IF('ESTIMATE (INPUT)'!O6="","",'ESTIMATE (INPUT)'!O6)</f>
        <v/>
      </c>
      <c r="T6" s="165" t="n"/>
      <c r="U6" s="166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127" t="n"/>
      <c r="O7" s="127" t="n"/>
      <c r="P7" s="127" t="n"/>
      <c r="Q7" s="127" t="n"/>
      <c r="R7" s="127" t="n"/>
      <c r="S7" s="165" t="n"/>
      <c r="T7" s="165" t="n"/>
      <c r="U7" s="167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127" t="n"/>
      <c r="O8" s="127" t="n"/>
      <c r="P8" s="127" t="n"/>
      <c r="Q8" s="127" t="n"/>
      <c r="R8" s="127" t="n"/>
      <c r="S8" s="165" t="n"/>
      <c r="T8" s="165" t="n"/>
      <c r="U8" s="127" t="n"/>
    </row>
    <row r="9" ht="14" customHeight="1" s="195" thickBot="1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1" t="n"/>
      <c r="O9" s="96" t="n"/>
      <c r="P9" s="7" t="n"/>
      <c r="Q9" s="3" t="n"/>
      <c r="R9" s="3" t="n"/>
      <c r="S9" s="7" t="n"/>
      <c r="T9" s="7" t="n"/>
      <c r="U9" s="2" t="n"/>
    </row>
    <row r="10" ht="13.5" customHeight="1" s="195">
      <c r="A10" s="150" t="n"/>
      <c r="B10" s="152" t="n"/>
      <c r="C10" s="153" t="n"/>
      <c r="D10" s="133" t="n"/>
      <c r="E10" s="134" t="n"/>
      <c r="F10" s="134" t="n"/>
      <c r="G10" s="135" t="inlineStr">
        <is>
          <t>UNIT PRICES</t>
        </is>
      </c>
      <c r="H10" s="135" t="n"/>
      <c r="I10" s="135" t="n"/>
      <c r="J10" s="135" t="n"/>
      <c r="K10" s="135" t="n"/>
      <c r="L10" s="135" t="n"/>
      <c r="M10" s="135" t="n"/>
      <c r="N10" s="208" t="n"/>
      <c r="O10" s="137" t="n"/>
      <c r="P10" s="138" t="n"/>
      <c r="Q10" s="137" t="n"/>
      <c r="R10" s="137" t="n"/>
      <c r="S10" s="138" t="n"/>
      <c r="T10" s="139" t="n"/>
      <c r="U10" s="140" t="n"/>
    </row>
    <row r="11" ht="15" customHeight="1" s="195" thickBot="1">
      <c r="A11" s="151" t="inlineStr">
        <is>
          <t>CODE</t>
        </is>
      </c>
      <c r="B11" s="198" t="inlineStr">
        <is>
          <t>DESCRIPTION</t>
        </is>
      </c>
      <c r="C11" s="199" t="n"/>
      <c r="D11" s="141" t="inlineStr">
        <is>
          <t>QUANTITY</t>
        </is>
      </c>
      <c r="E11" s="142" t="inlineStr">
        <is>
          <t>UNIT</t>
        </is>
      </c>
      <c r="F11" s="142" t="n"/>
      <c r="G11" s="143" t="inlineStr">
        <is>
          <t>LBR</t>
        </is>
      </c>
      <c r="H11" s="144" t="inlineStr">
        <is>
          <t>MTL</t>
        </is>
      </c>
      <c r="I11" s="144" t="inlineStr">
        <is>
          <t>SUBS</t>
        </is>
      </c>
      <c r="J11" s="144" t="inlineStr">
        <is>
          <t>EQUIP</t>
        </is>
      </c>
      <c r="K11" s="145" t="inlineStr">
        <is>
          <t>OTHR</t>
        </is>
      </c>
      <c r="L11" s="142" t="n"/>
      <c r="M11" s="142" t="n"/>
      <c r="N11" s="142" t="inlineStr">
        <is>
          <t>HOURS</t>
        </is>
      </c>
      <c r="O11" s="146" t="inlineStr">
        <is>
          <t>LABOR</t>
        </is>
      </c>
      <c r="P11" s="146" t="inlineStr">
        <is>
          <t>BURDEN</t>
        </is>
      </c>
      <c r="Q11" s="146" t="inlineStr">
        <is>
          <t>MATL</t>
        </is>
      </c>
      <c r="R11" s="146" t="inlineStr">
        <is>
          <t>SUBS</t>
        </is>
      </c>
      <c r="S11" s="146" t="inlineStr">
        <is>
          <t>EQUIP</t>
        </is>
      </c>
      <c r="T11" s="147" t="inlineStr">
        <is>
          <t>OTHER</t>
        </is>
      </c>
      <c r="U11" s="148" t="inlineStr">
        <is>
          <t>TOTAL</t>
        </is>
      </c>
    </row>
    <row r="12" ht="10" customHeight="1" s="195">
      <c r="A12" s="154" t="n"/>
      <c r="B12" s="155" t="n"/>
      <c r="C12" s="156" t="n"/>
      <c r="D12" s="155" t="n"/>
      <c r="E12" s="157" t="n"/>
      <c r="F12" s="157" t="n"/>
      <c r="G12" s="158" t="n"/>
      <c r="H12" s="159" t="n"/>
      <c r="I12" s="158" t="n"/>
      <c r="J12" s="158" t="n"/>
      <c r="K12" s="159" t="n"/>
      <c r="L12" s="158" t="n"/>
      <c r="M12" s="158">
        <f>U26</f>
        <v/>
      </c>
      <c r="N12" s="155" t="n"/>
      <c r="O12" s="155" t="n"/>
      <c r="P12" s="160" t="n"/>
      <c r="Q12" s="155" t="n"/>
      <c r="R12" s="155" t="n"/>
      <c r="S12" s="155" t="n"/>
      <c r="T12" s="160" t="n"/>
      <c r="U12" s="155" t="n"/>
    </row>
    <row r="13" ht="12" customHeight="1" s="195">
      <c r="A13" s="124">
        <f>'ESTIMATE (INPUT)'!A13</f>
        <v/>
      </c>
      <c r="B13" s="194">
        <f>'ESTIMATE (INPUT)'!B13</f>
        <v/>
      </c>
      <c r="D13" s="1">
        <f>'ESTIMATE (INPUT)'!D13</f>
        <v/>
      </c>
      <c r="E13" s="2">
        <f>'ESTIMATE (INPUT)'!E13</f>
        <v/>
      </c>
      <c r="F13" s="2" t="n"/>
      <c r="G13" s="1">
        <f>'ESTIMATE (INPUT)'!G13</f>
        <v/>
      </c>
      <c r="H13" s="2">
        <f>'ESTIMATE (INPUT)'!H13</f>
        <v/>
      </c>
      <c r="I13" s="1">
        <f>'ESTIMATE (INPUT)'!I13</f>
        <v/>
      </c>
      <c r="J13" s="2">
        <f>'ESTIMATE (INPUT)'!J13</f>
        <v/>
      </c>
      <c r="K13" s="1">
        <f>'ESTIMATE (INPUT)'!K13</f>
        <v/>
      </c>
      <c r="L13" s="2">
        <f>'ESTIMATE (INPUT)'!L13</f>
        <v/>
      </c>
      <c r="M13" s="2" t="n"/>
      <c r="N13" s="1">
        <f>'ESTIMATE (INPUT)'!M13</f>
        <v/>
      </c>
      <c r="O13" s="1">
        <f>'ESTIMATE (INPUT)'!N13</f>
        <v/>
      </c>
      <c r="P13" s="1">
        <f>'ESTIMATE (INPUT)'!O13</f>
        <v/>
      </c>
      <c r="Q13" s="1">
        <f>'ESTIMATE (INPUT)'!P13</f>
        <v/>
      </c>
      <c r="R13" s="1">
        <f>'ESTIMATE (INPUT)'!Q13</f>
        <v/>
      </c>
      <c r="S13" s="1">
        <f>'ESTIMATE (INPUT)'!R13</f>
        <v/>
      </c>
      <c r="T13" s="1">
        <f>'ESTIMATE (INPUT)'!S13</f>
        <v/>
      </c>
      <c r="U13" s="12">
        <f>SUM(O13:T13)</f>
        <v/>
      </c>
    </row>
    <row r="14" ht="12" customHeight="1" s="195">
      <c r="A14" s="124">
        <f>'ESTIMATE (INPUT)'!A14</f>
        <v/>
      </c>
      <c r="B14" s="194">
        <f>'ESTIMATE (INPUT)'!B14</f>
        <v/>
      </c>
      <c r="D14" s="1">
        <f>'ESTIMATE (INPUT)'!D14</f>
        <v/>
      </c>
      <c r="E14" s="2">
        <f>'ESTIMATE (INPUT)'!E14</f>
        <v/>
      </c>
      <c r="F14" s="2" t="n"/>
      <c r="G14" s="1">
        <f>'ESTIMATE (INPUT)'!G14</f>
        <v/>
      </c>
      <c r="H14" s="2">
        <f>'ESTIMATE (INPUT)'!H14</f>
        <v/>
      </c>
      <c r="I14" s="1">
        <f>'ESTIMATE (INPUT)'!I14</f>
        <v/>
      </c>
      <c r="J14" s="2">
        <f>'ESTIMATE (INPUT)'!J14</f>
        <v/>
      </c>
      <c r="K14" s="1">
        <f>'ESTIMATE (INPUT)'!K14</f>
        <v/>
      </c>
      <c r="L14" s="2">
        <f>'ESTIMATE (INPUT)'!L14</f>
        <v/>
      </c>
      <c r="M14" s="2" t="n"/>
      <c r="N14" s="1">
        <f>'ESTIMATE (INPUT)'!M14</f>
        <v/>
      </c>
      <c r="O14" s="1">
        <f>'ESTIMATE (INPUT)'!N14</f>
        <v/>
      </c>
      <c r="P14" s="1">
        <f>'ESTIMATE (INPUT)'!O14</f>
        <v/>
      </c>
      <c r="Q14" s="1">
        <f>'ESTIMATE (INPUT)'!P14</f>
        <v/>
      </c>
      <c r="R14" s="1">
        <f>'ESTIMATE (INPUT)'!Q14</f>
        <v/>
      </c>
      <c r="S14" s="1">
        <f>'ESTIMATE (INPUT)'!R14</f>
        <v/>
      </c>
      <c r="T14" s="1">
        <f>'ESTIMATE (INPUT)'!S14</f>
        <v/>
      </c>
      <c r="U14" s="12">
        <f>SUM(O14:T14)</f>
        <v/>
      </c>
    </row>
    <row r="15" ht="12" customHeight="1" s="195">
      <c r="A15" s="124">
        <f>'ESTIMATE (INPUT)'!A15</f>
        <v/>
      </c>
      <c r="B15" s="194">
        <f>'ESTIMATE (INPUT)'!B15</f>
        <v/>
      </c>
      <c r="D15" s="1">
        <f>'ESTIMATE (INPUT)'!D15</f>
        <v/>
      </c>
      <c r="E15" s="2">
        <f>'ESTIMATE (INPUT)'!E15</f>
        <v/>
      </c>
      <c r="F15" s="2" t="n"/>
      <c r="G15" s="1">
        <f>'ESTIMATE (INPUT)'!G15</f>
        <v/>
      </c>
      <c r="H15" s="2">
        <f>'ESTIMATE (INPUT)'!H15</f>
        <v/>
      </c>
      <c r="I15" s="1">
        <f>'ESTIMATE (INPUT)'!I15</f>
        <v/>
      </c>
      <c r="J15" s="2">
        <f>'ESTIMATE (INPUT)'!J15</f>
        <v/>
      </c>
      <c r="K15" s="1">
        <f>'ESTIMATE (INPUT)'!K15</f>
        <v/>
      </c>
      <c r="L15" s="2">
        <f>'ESTIMATE (INPUT)'!L15</f>
        <v/>
      </c>
      <c r="M15" s="2" t="n"/>
      <c r="N15" s="1">
        <f>'ESTIMATE (INPUT)'!M15</f>
        <v/>
      </c>
      <c r="O15" s="1">
        <f>'ESTIMATE (INPUT)'!N15</f>
        <v/>
      </c>
      <c r="P15" s="1">
        <f>'ESTIMATE (INPUT)'!O15</f>
        <v/>
      </c>
      <c r="Q15" s="1">
        <f>'ESTIMATE (INPUT)'!P15</f>
        <v/>
      </c>
      <c r="R15" s="1">
        <f>'ESTIMATE (INPUT)'!Q15</f>
        <v/>
      </c>
      <c r="S15" s="1">
        <f>'ESTIMATE (INPUT)'!R15</f>
        <v/>
      </c>
      <c r="T15" s="1">
        <f>'ESTIMATE (INPUT)'!S15</f>
        <v/>
      </c>
      <c r="U15" s="12">
        <f>SUM(O15:T15)</f>
        <v/>
      </c>
    </row>
    <row r="16" ht="12" customHeight="1" s="195">
      <c r="A16" s="124">
        <f>'ESTIMATE (INPUT)'!A16</f>
        <v/>
      </c>
      <c r="B16" s="194">
        <f>'ESTIMATE (INPUT)'!B16</f>
        <v/>
      </c>
      <c r="D16" s="1">
        <f>'ESTIMATE (INPUT)'!D16</f>
        <v/>
      </c>
      <c r="E16" s="2">
        <f>'ESTIMATE (INPUT)'!E16</f>
        <v/>
      </c>
      <c r="F16" s="2" t="n"/>
      <c r="G16" s="1">
        <f>'ESTIMATE (INPUT)'!G16</f>
        <v/>
      </c>
      <c r="H16" s="2">
        <f>'ESTIMATE (INPUT)'!H16</f>
        <v/>
      </c>
      <c r="I16" s="1">
        <f>'ESTIMATE (INPUT)'!I16</f>
        <v/>
      </c>
      <c r="J16" s="2">
        <f>'ESTIMATE (INPUT)'!J16</f>
        <v/>
      </c>
      <c r="K16" s="1">
        <f>'ESTIMATE (INPUT)'!K16</f>
        <v/>
      </c>
      <c r="L16" s="2">
        <f>'ESTIMATE (INPUT)'!L16</f>
        <v/>
      </c>
      <c r="M16" s="2" t="n"/>
      <c r="N16" s="1">
        <f>'ESTIMATE (INPUT)'!M16</f>
        <v/>
      </c>
      <c r="O16" s="1">
        <f>'ESTIMATE (INPUT)'!N16</f>
        <v/>
      </c>
      <c r="P16" s="1">
        <f>'ESTIMATE (INPUT)'!O16</f>
        <v/>
      </c>
      <c r="Q16" s="1">
        <f>'ESTIMATE (INPUT)'!P16</f>
        <v/>
      </c>
      <c r="R16" s="1">
        <f>'ESTIMATE (INPUT)'!Q16</f>
        <v/>
      </c>
      <c r="S16" s="1">
        <f>'ESTIMATE (INPUT)'!R16</f>
        <v/>
      </c>
      <c r="T16" s="1">
        <f>'ESTIMATE (INPUT)'!S16</f>
        <v/>
      </c>
      <c r="U16" s="12">
        <f>SUM(O16:T16)</f>
        <v/>
      </c>
    </row>
    <row r="17" ht="12" customHeight="1" s="195">
      <c r="A17" s="124">
        <f>'ESTIMATE (INPUT)'!A17</f>
        <v/>
      </c>
      <c r="B17" s="194">
        <f>'ESTIMATE (INPUT)'!B17</f>
        <v/>
      </c>
      <c r="D17" s="1">
        <f>'ESTIMATE (INPUT)'!D17</f>
        <v/>
      </c>
      <c r="E17" s="2">
        <f>'ESTIMATE (INPUT)'!E17</f>
        <v/>
      </c>
      <c r="F17" s="2" t="n"/>
      <c r="G17" s="1">
        <f>'ESTIMATE (INPUT)'!G17</f>
        <v/>
      </c>
      <c r="H17" s="2">
        <f>'ESTIMATE (INPUT)'!H17</f>
        <v/>
      </c>
      <c r="I17" s="1">
        <f>'ESTIMATE (INPUT)'!I17</f>
        <v/>
      </c>
      <c r="J17" s="2">
        <f>'ESTIMATE (INPUT)'!J17</f>
        <v/>
      </c>
      <c r="K17" s="1">
        <f>'ESTIMATE (INPUT)'!K17</f>
        <v/>
      </c>
      <c r="L17" s="2">
        <f>'ESTIMATE (INPUT)'!L17</f>
        <v/>
      </c>
      <c r="M17" s="2" t="n"/>
      <c r="N17" s="1">
        <f>'ESTIMATE (INPUT)'!M17</f>
        <v/>
      </c>
      <c r="O17" s="1">
        <f>'ESTIMATE (INPUT)'!N17</f>
        <v/>
      </c>
      <c r="P17" s="1">
        <f>'ESTIMATE (INPUT)'!O17</f>
        <v/>
      </c>
      <c r="Q17" s="1">
        <f>'ESTIMATE (INPUT)'!P17</f>
        <v/>
      </c>
      <c r="R17" s="1">
        <f>'ESTIMATE (INPUT)'!Q17</f>
        <v/>
      </c>
      <c r="S17" s="1">
        <f>'ESTIMATE (INPUT)'!R17</f>
        <v/>
      </c>
      <c r="T17" s="1">
        <f>'ESTIMATE (INPUT)'!S17</f>
        <v/>
      </c>
      <c r="U17" s="12">
        <f>SUM(O17:T17)</f>
        <v/>
      </c>
    </row>
    <row r="18" ht="12" customHeight="1" s="195">
      <c r="A18" s="124">
        <f>'ESTIMATE (INPUT)'!A18</f>
        <v/>
      </c>
      <c r="B18" s="194">
        <f>'ESTIMATE (INPUT)'!B18</f>
        <v/>
      </c>
      <c r="D18" s="1">
        <f>'ESTIMATE (INPUT)'!D18</f>
        <v/>
      </c>
      <c r="E18" s="2">
        <f>'ESTIMATE (INPUT)'!E18</f>
        <v/>
      </c>
      <c r="F18" s="2" t="n"/>
      <c r="G18" s="1">
        <f>'ESTIMATE (INPUT)'!G18</f>
        <v/>
      </c>
      <c r="H18" s="2">
        <f>'ESTIMATE (INPUT)'!H18</f>
        <v/>
      </c>
      <c r="I18" s="1">
        <f>'ESTIMATE (INPUT)'!I18</f>
        <v/>
      </c>
      <c r="J18" s="2">
        <f>'ESTIMATE (INPUT)'!J18</f>
        <v/>
      </c>
      <c r="K18" s="1">
        <f>'ESTIMATE (INPUT)'!K18</f>
        <v/>
      </c>
      <c r="L18" s="2">
        <f>'ESTIMATE (INPUT)'!L18</f>
        <v/>
      </c>
      <c r="M18" s="2" t="n"/>
      <c r="N18" s="1">
        <f>'ESTIMATE (INPUT)'!M18</f>
        <v/>
      </c>
      <c r="O18" s="1">
        <f>'ESTIMATE (INPUT)'!N18</f>
        <v/>
      </c>
      <c r="P18" s="1">
        <f>'ESTIMATE (INPUT)'!O18</f>
        <v/>
      </c>
      <c r="Q18" s="1">
        <f>'ESTIMATE (INPUT)'!P18</f>
        <v/>
      </c>
      <c r="R18" s="1">
        <f>'ESTIMATE (INPUT)'!Q18</f>
        <v/>
      </c>
      <c r="S18" s="1">
        <f>'ESTIMATE (INPUT)'!R18</f>
        <v/>
      </c>
      <c r="T18" s="1">
        <f>'ESTIMATE (INPUT)'!S18</f>
        <v/>
      </c>
      <c r="U18" s="12">
        <f>SUM(O18:T18)</f>
        <v/>
      </c>
    </row>
    <row r="19" hidden="1" ht="12" customHeight="1" s="195">
      <c r="A19" s="124">
        <f>'ESTIMATE (INPUT)'!A19</f>
        <v/>
      </c>
      <c r="B19" s="194">
        <f>'ESTIMATE (INPUT)'!B19</f>
        <v/>
      </c>
      <c r="D19" s="1">
        <f>'ESTIMATE (INPUT)'!D19</f>
        <v/>
      </c>
      <c r="E19" s="2">
        <f>'ESTIMATE (INPUT)'!E19</f>
        <v/>
      </c>
      <c r="F19" s="2" t="n"/>
      <c r="G19" s="1">
        <f>'ESTIMATE (INPUT)'!G19</f>
        <v/>
      </c>
      <c r="H19" s="2">
        <f>'ESTIMATE (INPUT)'!H19</f>
        <v/>
      </c>
      <c r="I19" s="1">
        <f>'ESTIMATE (INPUT)'!I19</f>
        <v/>
      </c>
      <c r="J19" s="2">
        <f>'ESTIMATE (INPUT)'!J19</f>
        <v/>
      </c>
      <c r="K19" s="1">
        <f>'ESTIMATE (INPUT)'!K19</f>
        <v/>
      </c>
      <c r="L19" s="2">
        <f>'ESTIMATE (INPUT)'!L19</f>
        <v/>
      </c>
      <c r="M19" s="2" t="n"/>
      <c r="N19" s="1">
        <f>'ESTIMATE (INPUT)'!M19</f>
        <v/>
      </c>
      <c r="O19" s="1">
        <f>'ESTIMATE (INPUT)'!N19</f>
        <v/>
      </c>
      <c r="P19" s="1">
        <f>'ESTIMATE (INPUT)'!O19</f>
        <v/>
      </c>
      <c r="Q19" s="1">
        <f>'ESTIMATE (INPUT)'!P19</f>
        <v/>
      </c>
      <c r="R19" s="1">
        <f>'ESTIMATE (INPUT)'!Q19</f>
        <v/>
      </c>
      <c r="S19" s="1">
        <f>'ESTIMATE (INPUT)'!R19</f>
        <v/>
      </c>
      <c r="T19" s="1">
        <f>'ESTIMATE (INPUT)'!S19</f>
        <v/>
      </c>
      <c r="U19" s="12">
        <f>SUM(O19:T19)</f>
        <v/>
      </c>
    </row>
    <row r="20" hidden="1" ht="12" customHeight="1" s="195">
      <c r="A20" s="124">
        <f>'ESTIMATE (INPUT)'!A20</f>
        <v/>
      </c>
      <c r="B20" s="194">
        <f>'ESTIMATE (INPUT)'!B20</f>
        <v/>
      </c>
      <c r="D20" s="1">
        <f>'ESTIMATE (INPUT)'!D20</f>
        <v/>
      </c>
      <c r="E20" s="2">
        <f>'ESTIMATE (INPUT)'!E20</f>
        <v/>
      </c>
      <c r="F20" s="2" t="n"/>
      <c r="G20" s="1">
        <f>'ESTIMATE (INPUT)'!G20</f>
        <v/>
      </c>
      <c r="H20" s="2">
        <f>'ESTIMATE (INPUT)'!H20</f>
        <v/>
      </c>
      <c r="I20" s="1">
        <f>'ESTIMATE (INPUT)'!I20</f>
        <v/>
      </c>
      <c r="J20" s="2">
        <f>'ESTIMATE (INPUT)'!J20</f>
        <v/>
      </c>
      <c r="K20" s="1">
        <f>'ESTIMATE (INPUT)'!K20</f>
        <v/>
      </c>
      <c r="L20" s="2">
        <f>'ESTIMATE (INPUT)'!L20</f>
        <v/>
      </c>
      <c r="M20" s="2" t="n"/>
      <c r="N20" s="1">
        <f>'ESTIMATE (INPUT)'!M20</f>
        <v/>
      </c>
      <c r="O20" s="1">
        <f>'ESTIMATE (INPUT)'!N20</f>
        <v/>
      </c>
      <c r="P20" s="1">
        <f>'ESTIMATE (INPUT)'!O20</f>
        <v/>
      </c>
      <c r="Q20" s="1">
        <f>'ESTIMATE (INPUT)'!P20</f>
        <v/>
      </c>
      <c r="R20" s="1">
        <f>'ESTIMATE (INPUT)'!Q20</f>
        <v/>
      </c>
      <c r="S20" s="1">
        <f>'ESTIMATE (INPUT)'!R20</f>
        <v/>
      </c>
      <c r="T20" s="1">
        <f>'ESTIMATE (INPUT)'!S20</f>
        <v/>
      </c>
      <c r="U20" s="12">
        <f>SUM(O20:T20)</f>
        <v/>
      </c>
    </row>
    <row r="21" hidden="1" ht="12" customHeight="1" s="195">
      <c r="A21" s="124">
        <f>'ESTIMATE (INPUT)'!A21</f>
        <v/>
      </c>
      <c r="B21" s="194">
        <f>'ESTIMATE (INPUT)'!B21</f>
        <v/>
      </c>
      <c r="D21" s="1">
        <f>'ESTIMATE (INPUT)'!D21</f>
        <v/>
      </c>
      <c r="E21" s="2">
        <f>'ESTIMATE (INPUT)'!E21</f>
        <v/>
      </c>
      <c r="F21" s="2" t="n"/>
      <c r="G21" s="1">
        <f>'ESTIMATE (INPUT)'!G21</f>
        <v/>
      </c>
      <c r="H21" s="2">
        <f>'ESTIMATE (INPUT)'!H21</f>
        <v/>
      </c>
      <c r="I21" s="1">
        <f>'ESTIMATE (INPUT)'!I21</f>
        <v/>
      </c>
      <c r="J21" s="2">
        <f>'ESTIMATE (INPUT)'!J21</f>
        <v/>
      </c>
      <c r="K21" s="1">
        <f>'ESTIMATE (INPUT)'!K21</f>
        <v/>
      </c>
      <c r="L21" s="2">
        <f>'ESTIMATE (INPUT)'!L21</f>
        <v/>
      </c>
      <c r="M21" s="2" t="n"/>
      <c r="N21" s="1">
        <f>'ESTIMATE (INPUT)'!M21</f>
        <v/>
      </c>
      <c r="O21" s="1">
        <f>'ESTIMATE (INPUT)'!N21</f>
        <v/>
      </c>
      <c r="P21" s="1">
        <f>'ESTIMATE (INPUT)'!O21</f>
        <v/>
      </c>
      <c r="Q21" s="1">
        <f>'ESTIMATE (INPUT)'!P21</f>
        <v/>
      </c>
      <c r="R21" s="1">
        <f>'ESTIMATE (INPUT)'!Q21</f>
        <v/>
      </c>
      <c r="S21" s="1">
        <f>'ESTIMATE (INPUT)'!R21</f>
        <v/>
      </c>
      <c r="T21" s="1">
        <f>'ESTIMATE (INPUT)'!S21</f>
        <v/>
      </c>
      <c r="U21" s="12">
        <f>SUM(O21:T21)</f>
        <v/>
      </c>
    </row>
    <row r="22" hidden="1" ht="12" customHeight="1" s="195">
      <c r="A22" s="124">
        <f>'ESTIMATE (INPUT)'!A22</f>
        <v/>
      </c>
      <c r="B22" s="194">
        <f>'ESTIMATE (INPUT)'!B22</f>
        <v/>
      </c>
      <c r="D22" s="1">
        <f>'ESTIMATE (INPUT)'!D22</f>
        <v/>
      </c>
      <c r="E22" s="2">
        <f>'ESTIMATE (INPUT)'!E22</f>
        <v/>
      </c>
      <c r="F22" s="2" t="n"/>
      <c r="G22" s="1">
        <f>'ESTIMATE (INPUT)'!G22</f>
        <v/>
      </c>
      <c r="H22" s="2">
        <f>'ESTIMATE (INPUT)'!H22</f>
        <v/>
      </c>
      <c r="I22" s="1">
        <f>'ESTIMATE (INPUT)'!I22</f>
        <v/>
      </c>
      <c r="J22" s="2">
        <f>'ESTIMATE (INPUT)'!J22</f>
        <v/>
      </c>
      <c r="K22" s="1">
        <f>'ESTIMATE (INPUT)'!K22</f>
        <v/>
      </c>
      <c r="L22" s="2">
        <f>'ESTIMATE (INPUT)'!L22</f>
        <v/>
      </c>
      <c r="M22" s="2" t="n"/>
      <c r="N22" s="1">
        <f>'ESTIMATE (INPUT)'!M22</f>
        <v/>
      </c>
      <c r="O22" s="1">
        <f>'ESTIMATE (INPUT)'!N22</f>
        <v/>
      </c>
      <c r="P22" s="1">
        <f>'ESTIMATE (INPUT)'!O22</f>
        <v/>
      </c>
      <c r="Q22" s="1">
        <f>'ESTIMATE (INPUT)'!P22</f>
        <v/>
      </c>
      <c r="R22" s="1">
        <f>'ESTIMATE (INPUT)'!Q22</f>
        <v/>
      </c>
      <c r="S22" s="1">
        <f>'ESTIMATE (INPUT)'!R22</f>
        <v/>
      </c>
      <c r="T22" s="1">
        <f>'ESTIMATE (INPUT)'!S22</f>
        <v/>
      </c>
      <c r="U22" s="12">
        <f>SUM(O22:T22)</f>
        <v/>
      </c>
    </row>
    <row r="23" hidden="1" ht="12" customHeight="1" s="195">
      <c r="A23" s="124">
        <f>'ESTIMATE (INPUT)'!A23</f>
        <v/>
      </c>
      <c r="B23" s="194">
        <f>'ESTIMATE (INPUT)'!B23</f>
        <v/>
      </c>
      <c r="D23" s="1">
        <f>'ESTIMATE (INPUT)'!D23</f>
        <v/>
      </c>
      <c r="E23" s="2">
        <f>'ESTIMATE (INPUT)'!E23</f>
        <v/>
      </c>
      <c r="F23" s="2" t="n"/>
      <c r="G23" s="1">
        <f>'ESTIMATE (INPUT)'!G23</f>
        <v/>
      </c>
      <c r="H23" s="2">
        <f>'ESTIMATE (INPUT)'!H23</f>
        <v/>
      </c>
      <c r="I23" s="1">
        <f>'ESTIMATE (INPUT)'!I23</f>
        <v/>
      </c>
      <c r="J23" s="2">
        <f>'ESTIMATE (INPUT)'!J23</f>
        <v/>
      </c>
      <c r="K23" s="1">
        <f>'ESTIMATE (INPUT)'!K23</f>
        <v/>
      </c>
      <c r="L23" s="2">
        <f>'ESTIMATE (INPUT)'!L23</f>
        <v/>
      </c>
      <c r="M23" s="2" t="n"/>
      <c r="N23" s="1">
        <f>'ESTIMATE (INPUT)'!M23</f>
        <v/>
      </c>
      <c r="O23" s="1">
        <f>'ESTIMATE (INPUT)'!N23</f>
        <v/>
      </c>
      <c r="P23" s="1">
        <f>'ESTIMATE (INPUT)'!O23</f>
        <v/>
      </c>
      <c r="Q23" s="1">
        <f>'ESTIMATE (INPUT)'!P23</f>
        <v/>
      </c>
      <c r="R23" s="1">
        <f>'ESTIMATE (INPUT)'!Q23</f>
        <v/>
      </c>
      <c r="S23" s="1">
        <f>'ESTIMATE (INPUT)'!R23</f>
        <v/>
      </c>
      <c r="T23" s="1">
        <f>'ESTIMATE (INPUT)'!S23</f>
        <v/>
      </c>
      <c r="U23" s="12">
        <f>SUM(O23:T23)</f>
        <v/>
      </c>
    </row>
    <row r="24" ht="12" customHeight="1" s="195">
      <c r="A24" s="124">
        <f>'ESTIMATE (INPUT)'!A24</f>
        <v/>
      </c>
      <c r="B24" s="194">
        <f>'ESTIMATE (INPUT)'!B24</f>
        <v/>
      </c>
      <c r="D24" s="1">
        <f>'ESTIMATE (INPUT)'!D24</f>
        <v/>
      </c>
      <c r="E24" s="2">
        <f>'ESTIMATE (INPUT)'!E24</f>
        <v/>
      </c>
      <c r="F24" s="2" t="n"/>
      <c r="G24" s="1">
        <f>'ESTIMATE (INPUT)'!G24</f>
        <v/>
      </c>
      <c r="H24" s="2">
        <f>'ESTIMATE (INPUT)'!H24</f>
        <v/>
      </c>
      <c r="I24" s="1">
        <f>'ESTIMATE (INPUT)'!I24</f>
        <v/>
      </c>
      <c r="J24" s="2">
        <f>'ESTIMATE (INPUT)'!J24</f>
        <v/>
      </c>
      <c r="K24" s="1">
        <f>'ESTIMATE (INPUT)'!K24</f>
        <v/>
      </c>
      <c r="L24" s="2">
        <f>'ESTIMATE (INPUT)'!L24</f>
        <v/>
      </c>
      <c r="M24" s="2" t="n"/>
      <c r="N24" s="1">
        <f>'ESTIMATE (INPUT)'!M24</f>
        <v/>
      </c>
      <c r="O24" s="1">
        <f>'ESTIMATE (INPUT)'!N24</f>
        <v/>
      </c>
      <c r="P24" s="1">
        <f>'ESTIMATE (INPUT)'!O24</f>
        <v/>
      </c>
      <c r="Q24" s="1">
        <f>'ESTIMATE (INPUT)'!P24</f>
        <v/>
      </c>
      <c r="R24" s="1">
        <f>'ESTIMATE (INPUT)'!Q24</f>
        <v/>
      </c>
      <c r="S24" s="1">
        <f>'ESTIMATE (INPUT)'!R24</f>
        <v/>
      </c>
      <c r="T24" s="1">
        <f>'ESTIMATE (INPUT)'!S24</f>
        <v/>
      </c>
      <c r="U24" s="12">
        <f>SUM(O24:T24)</f>
        <v/>
      </c>
    </row>
    <row r="25" hidden="1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91" t="n"/>
      <c r="N25" s="1" t="n"/>
      <c r="O25" s="1" t="n"/>
      <c r="P25" s="7" t="n"/>
      <c r="Q25" s="1" t="n"/>
      <c r="R25" s="1" t="n"/>
      <c r="S25" s="7" t="n"/>
      <c r="T25" s="7" t="n"/>
      <c r="U25" s="12" t="n"/>
    </row>
    <row r="26" ht="12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4" t="n"/>
      <c r="N26" s="93">
        <f>SUM(N13:N25)</f>
        <v/>
      </c>
      <c r="O26" s="93">
        <f>SUM(O12:O25)</f>
        <v/>
      </c>
      <c r="P26" s="95">
        <f>SUM(P12:P25)</f>
        <v/>
      </c>
      <c r="Q26" s="93">
        <f>SUM(Q12:Q25)</f>
        <v/>
      </c>
      <c r="R26" s="93">
        <f>SUM(R12:R25)</f>
        <v/>
      </c>
      <c r="S26" s="95">
        <f>SUM(S12:S25)</f>
        <v/>
      </c>
      <c r="T26" s="95">
        <f>SUM(T12:T25)</f>
        <v/>
      </c>
      <c r="U26" s="98">
        <f>SUM(U12:U25)</f>
        <v/>
      </c>
    </row>
    <row r="27" ht="10" customHeight="1" s="195">
      <c r="A27" s="154" t="n"/>
      <c r="B27" s="155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58">
        <f>U40</f>
        <v/>
      </c>
      <c r="N27" s="1" t="n"/>
      <c r="O27" s="1" t="n"/>
      <c r="P27" s="7" t="n"/>
      <c r="Q27" s="1" t="n"/>
      <c r="R27" s="1" t="n"/>
      <c r="S27" s="1" t="n"/>
      <c r="T27" s="7" t="n"/>
      <c r="U27" s="155" t="n"/>
    </row>
    <row r="28" hidden="1" ht="12" customHeight="1" s="195">
      <c r="A28" s="124">
        <f>'ESTIMATE (INPUT)'!A28</f>
        <v/>
      </c>
      <c r="B28" s="194">
        <f>'ESTIMATE (INPUT)'!B28</f>
        <v/>
      </c>
      <c r="D28" s="1">
        <f>'ESTIMATE (INPUT)'!D28</f>
        <v/>
      </c>
      <c r="E28" s="2">
        <f>'ESTIMATE (INPUT)'!E28</f>
        <v/>
      </c>
      <c r="F28" s="2" t="n"/>
      <c r="G28" s="91" t="n"/>
      <c r="H28" s="91" t="n"/>
      <c r="I28" s="91" t="n"/>
      <c r="J28" s="100" t="n"/>
      <c r="K28" s="100" t="n"/>
      <c r="L28" s="100" t="n"/>
      <c r="M28" s="100" t="n"/>
      <c r="N28" s="1">
        <f>'ESTIMATE (INPUT)'!M28</f>
        <v/>
      </c>
      <c r="O28" s="1">
        <f>'ESTIMATE (INPUT)'!N28</f>
        <v/>
      </c>
      <c r="P28" s="1">
        <f>'ESTIMATE (INPUT)'!O28</f>
        <v/>
      </c>
      <c r="Q28" s="1">
        <f>'ESTIMATE (INPUT)'!P28</f>
        <v/>
      </c>
      <c r="R28" s="1">
        <f>'ESTIMATE (INPUT)'!Q28</f>
        <v/>
      </c>
      <c r="S28" s="1">
        <f>'ESTIMATE (INPUT)'!R28</f>
        <v/>
      </c>
      <c r="T28" s="1">
        <f>'ESTIMATE (INPUT)'!S28</f>
        <v/>
      </c>
      <c r="U28" s="12">
        <f>SUM(O28:T28)</f>
        <v/>
      </c>
    </row>
    <row r="29" ht="12" customHeight="1" s="195">
      <c r="A29" s="124">
        <f>'ESTIMATE (INPUT)'!A29</f>
        <v/>
      </c>
      <c r="B29" s="194">
        <f>'ESTIMATE (INPUT)'!B29</f>
        <v/>
      </c>
      <c r="D29" s="1">
        <f>'ESTIMATE (INPUT)'!D29</f>
        <v/>
      </c>
      <c r="E29" s="2">
        <f>'ESTIMATE (INPUT)'!E29</f>
        <v/>
      </c>
      <c r="F29" s="2" t="n"/>
      <c r="G29" s="91" t="n"/>
      <c r="H29" s="91" t="n"/>
      <c r="I29" s="91" t="n"/>
      <c r="J29" s="100" t="n"/>
      <c r="K29" s="100" t="n"/>
      <c r="L29" s="100" t="n"/>
      <c r="M29" s="100" t="n"/>
      <c r="N29" s="1">
        <f>'ESTIMATE (INPUT)'!M29</f>
        <v/>
      </c>
      <c r="O29" s="1">
        <f>'ESTIMATE (INPUT)'!N29</f>
        <v/>
      </c>
      <c r="P29" s="1">
        <f>'ESTIMATE (INPUT)'!O29</f>
        <v/>
      </c>
      <c r="Q29" s="1">
        <f>'ESTIMATE (INPUT)'!P29</f>
        <v/>
      </c>
      <c r="R29" s="1">
        <f>'ESTIMATE (INPUT)'!Q29</f>
        <v/>
      </c>
      <c r="S29" s="1">
        <f>'ESTIMATE (INPUT)'!R29</f>
        <v/>
      </c>
      <c r="T29" s="1">
        <f>'ESTIMATE (INPUT)'!S29</f>
        <v/>
      </c>
      <c r="U29" s="12">
        <f>SUM(O29:T29)</f>
        <v/>
      </c>
    </row>
    <row r="30" hidden="1" ht="12" customHeight="1" s="195">
      <c r="A30" s="124">
        <f>'ESTIMATE (INPUT)'!A30</f>
        <v/>
      </c>
      <c r="B30" s="194">
        <f>'ESTIMATE (INPUT)'!B30</f>
        <v/>
      </c>
      <c r="D30" s="1">
        <f>'ESTIMATE (INPUT)'!D30</f>
        <v/>
      </c>
      <c r="E30" s="2">
        <f>'ESTIMATE (INPUT)'!E30</f>
        <v/>
      </c>
      <c r="F30" s="2" t="n"/>
      <c r="G30" s="91" t="n"/>
      <c r="H30" s="91" t="n"/>
      <c r="I30" s="91" t="n"/>
      <c r="J30" s="100" t="n"/>
      <c r="K30" s="100" t="n"/>
      <c r="L30" s="100" t="n"/>
      <c r="M30" s="100" t="n"/>
      <c r="N30" s="1">
        <f>'ESTIMATE (INPUT)'!M30</f>
        <v/>
      </c>
      <c r="O30" s="1">
        <f>'ESTIMATE (INPUT)'!N30</f>
        <v/>
      </c>
      <c r="P30" s="1">
        <f>'ESTIMATE (INPUT)'!O30</f>
        <v/>
      </c>
      <c r="Q30" s="1">
        <f>'ESTIMATE (INPUT)'!P30</f>
        <v/>
      </c>
      <c r="R30" s="1">
        <f>'ESTIMATE (INPUT)'!Q30</f>
        <v/>
      </c>
      <c r="S30" s="1">
        <f>'ESTIMATE (INPUT)'!R30</f>
        <v/>
      </c>
      <c r="T30" s="1">
        <f>'ESTIMATE (INPUT)'!S30</f>
        <v/>
      </c>
      <c r="U30" s="12">
        <f>SUM(O30:T30)</f>
        <v/>
      </c>
    </row>
    <row r="31" ht="12" customHeight="1" s="195">
      <c r="A31" s="124">
        <f>'ESTIMATE (INPUT)'!A31</f>
        <v/>
      </c>
      <c r="B31" s="194">
        <f>'ESTIMATE (INPUT)'!B31</f>
        <v/>
      </c>
      <c r="D31" s="1">
        <f>'ESTIMATE (INPUT)'!D31</f>
        <v/>
      </c>
      <c r="E31" s="2">
        <f>'ESTIMATE (INPUT)'!E31</f>
        <v/>
      </c>
      <c r="F31" s="2" t="n"/>
      <c r="G31" s="91" t="n"/>
      <c r="H31" s="91" t="n"/>
      <c r="I31" s="91" t="n"/>
      <c r="J31" s="100" t="n"/>
      <c r="K31" s="100" t="n"/>
      <c r="L31" s="100" t="n"/>
      <c r="M31" s="100" t="n"/>
      <c r="N31" s="1">
        <f>'ESTIMATE (INPUT)'!M31</f>
        <v/>
      </c>
      <c r="O31" s="1">
        <f>'ESTIMATE (INPUT)'!N31</f>
        <v/>
      </c>
      <c r="P31" s="1">
        <f>'ESTIMATE (INPUT)'!O31</f>
        <v/>
      </c>
      <c r="Q31" s="1">
        <f>'ESTIMATE (INPUT)'!P31</f>
        <v/>
      </c>
      <c r="R31" s="1">
        <f>'ESTIMATE (INPUT)'!Q31</f>
        <v/>
      </c>
      <c r="S31" s="1">
        <f>'ESTIMATE (INPUT)'!R31</f>
        <v/>
      </c>
      <c r="T31" s="1">
        <f>'ESTIMATE (INPUT)'!S31</f>
        <v/>
      </c>
      <c r="U31" s="12">
        <f>SUM(O31:T31)</f>
        <v/>
      </c>
    </row>
    <row r="32" ht="12" customHeight="1" s="195">
      <c r="A32" s="124">
        <f>'ESTIMATE (INPUT)'!A32</f>
        <v/>
      </c>
      <c r="B32" s="194">
        <f>'ESTIMATE (INPUT)'!B32</f>
        <v/>
      </c>
      <c r="D32" s="1">
        <f>'ESTIMATE (INPUT)'!D32</f>
        <v/>
      </c>
      <c r="E32" s="2">
        <f>'ESTIMATE (INPUT)'!E32</f>
        <v/>
      </c>
      <c r="F32" s="2" t="n"/>
      <c r="G32" s="91" t="n"/>
      <c r="H32" s="91" t="n"/>
      <c r="I32" s="91" t="n"/>
      <c r="J32" s="100" t="n"/>
      <c r="K32" s="100" t="n"/>
      <c r="L32" s="100" t="n"/>
      <c r="M32" s="100" t="n"/>
      <c r="N32" s="1" t="n"/>
      <c r="O32" s="1">
        <f>'ESTIMATE (INPUT)'!N32</f>
        <v/>
      </c>
      <c r="P32" s="1">
        <f>'ESTIMATE (INPUT)'!O32</f>
        <v/>
      </c>
      <c r="Q32" s="1">
        <f>'ESTIMATE (INPUT)'!P32</f>
        <v/>
      </c>
      <c r="R32" s="1">
        <f>'ESTIMATE (INPUT)'!Q32</f>
        <v/>
      </c>
      <c r="S32" s="1">
        <f>'ESTIMATE (INPUT)'!R32</f>
        <v/>
      </c>
      <c r="T32" s="1">
        <f>'ESTIMATE (INPUT)'!S32</f>
        <v/>
      </c>
      <c r="U32" s="12">
        <f>SUM(O32:T32)</f>
        <v/>
      </c>
    </row>
    <row r="33" ht="12" customHeight="1" s="195">
      <c r="A33" s="124">
        <f>'ESTIMATE (INPUT)'!A33</f>
        <v/>
      </c>
      <c r="B33" s="194">
        <f>'ESTIMATE (INPUT)'!B33</f>
        <v/>
      </c>
      <c r="D33" s="1">
        <f>'ESTIMATE (INPUT)'!D33</f>
        <v/>
      </c>
      <c r="E33" s="2">
        <f>'ESTIMATE (INPUT)'!E33</f>
        <v/>
      </c>
      <c r="F33" s="2" t="n"/>
      <c r="G33" s="91" t="n"/>
      <c r="H33" s="91" t="n"/>
      <c r="I33" s="91" t="n"/>
      <c r="J33" s="100" t="n"/>
      <c r="K33" s="100" t="n"/>
      <c r="L33" s="100" t="n"/>
      <c r="M33" s="100" t="n"/>
      <c r="N33" s="1">
        <f>'ESTIMATE (INPUT)'!M33</f>
        <v/>
      </c>
      <c r="O33" s="1">
        <f>'ESTIMATE (INPUT)'!N33</f>
        <v/>
      </c>
      <c r="P33" s="1">
        <f>'ESTIMATE (INPUT)'!O33</f>
        <v/>
      </c>
      <c r="Q33" s="1">
        <f>'ESTIMATE (INPUT)'!P33</f>
        <v/>
      </c>
      <c r="R33" s="1">
        <f>'ESTIMATE (INPUT)'!Q33</f>
        <v/>
      </c>
      <c r="S33" s="1">
        <f>'ESTIMATE (INPUT)'!R33</f>
        <v/>
      </c>
      <c r="T33" s="1">
        <f>'ESTIMATE (INPUT)'!S33</f>
        <v/>
      </c>
      <c r="U33" s="12">
        <f>SUM(O33:T33)</f>
        <v/>
      </c>
    </row>
    <row r="34" hidden="1" ht="12" customHeight="1" s="195">
      <c r="A34" s="124">
        <f>'ESTIMATE (INPUT)'!A34</f>
        <v/>
      </c>
      <c r="B34" s="194">
        <f>'ESTIMATE (INPUT)'!B34</f>
        <v/>
      </c>
      <c r="D34" s="1">
        <f>'ESTIMATE (INPUT)'!D34</f>
        <v/>
      </c>
      <c r="E34" s="2">
        <f>'ESTIMATE (INPUT)'!E34</f>
        <v/>
      </c>
      <c r="F34" s="2" t="n"/>
      <c r="G34" s="91" t="n"/>
      <c r="H34" s="91" t="n"/>
      <c r="I34" s="91" t="n"/>
      <c r="J34" s="100" t="n"/>
      <c r="K34" s="100" t="n"/>
      <c r="L34" s="100" t="n"/>
      <c r="M34" s="100" t="n"/>
      <c r="N34" s="1">
        <f>'ESTIMATE (INPUT)'!M34</f>
        <v/>
      </c>
      <c r="O34" s="1">
        <f>'ESTIMATE (INPUT)'!N34</f>
        <v/>
      </c>
      <c r="P34" s="1">
        <f>'ESTIMATE (INPUT)'!O34</f>
        <v/>
      </c>
      <c r="Q34" s="1">
        <f>'ESTIMATE (INPUT)'!P34</f>
        <v/>
      </c>
      <c r="R34" s="1">
        <f>'ESTIMATE (INPUT)'!Q34</f>
        <v/>
      </c>
      <c r="S34" s="1">
        <f>'ESTIMATE (INPUT)'!R34</f>
        <v/>
      </c>
      <c r="T34" s="1">
        <f>'ESTIMATE (INPUT)'!S34</f>
        <v/>
      </c>
      <c r="U34" s="12">
        <f>SUM(O34:T34)</f>
        <v/>
      </c>
    </row>
    <row r="35" hidden="1" ht="12" customHeight="1" s="195">
      <c r="A35" s="124">
        <f>'ESTIMATE (INPUT)'!A35</f>
        <v/>
      </c>
      <c r="B35" s="194">
        <f>'ESTIMATE (INPUT)'!B35</f>
        <v/>
      </c>
      <c r="D35" s="1">
        <f>'ESTIMATE (INPUT)'!D35</f>
        <v/>
      </c>
      <c r="E35" s="2">
        <f>'ESTIMATE (INPUT)'!E35</f>
        <v/>
      </c>
      <c r="F35" s="2" t="n"/>
      <c r="G35" s="91" t="n"/>
      <c r="H35" s="91" t="n"/>
      <c r="I35" s="91" t="n"/>
      <c r="J35" s="100" t="n"/>
      <c r="K35" s="100" t="n"/>
      <c r="L35" s="100" t="n"/>
      <c r="M35" s="100" t="n"/>
      <c r="N35" s="1">
        <f>'ESTIMATE (INPUT)'!M35</f>
        <v/>
      </c>
      <c r="O35" s="1">
        <f>'ESTIMATE (INPUT)'!N35</f>
        <v/>
      </c>
      <c r="P35" s="1">
        <f>'ESTIMATE (INPUT)'!O35</f>
        <v/>
      </c>
      <c r="Q35" s="1">
        <f>'ESTIMATE (INPUT)'!P35</f>
        <v/>
      </c>
      <c r="R35" s="1">
        <f>'ESTIMATE (INPUT)'!Q35</f>
        <v/>
      </c>
      <c r="S35" s="1">
        <f>'ESTIMATE (INPUT)'!R35</f>
        <v/>
      </c>
      <c r="T35" s="1">
        <f>'ESTIMATE (INPUT)'!S35</f>
        <v/>
      </c>
      <c r="U35" s="12">
        <f>SUM(O35:T35)</f>
        <v/>
      </c>
    </row>
    <row r="36" hidden="1" ht="12" customHeight="1" s="195">
      <c r="A36" s="124">
        <f>'ESTIMATE (INPUT)'!A36</f>
        <v/>
      </c>
      <c r="B36" s="194">
        <f>'ESTIMATE (INPUT)'!B36</f>
        <v/>
      </c>
      <c r="D36" s="1">
        <f>'ESTIMATE (INPUT)'!D36</f>
        <v/>
      </c>
      <c r="E36" s="2">
        <f>'ESTIMATE (INPUT)'!E36</f>
        <v/>
      </c>
      <c r="F36" s="2" t="n"/>
      <c r="G36" s="91" t="n"/>
      <c r="H36" s="91" t="n"/>
      <c r="I36" s="91" t="n"/>
      <c r="J36" s="100" t="n"/>
      <c r="K36" s="100" t="n"/>
      <c r="L36" s="100" t="n"/>
      <c r="M36" s="100" t="n"/>
      <c r="N36" s="1">
        <f>'ESTIMATE (INPUT)'!M36</f>
        <v/>
      </c>
      <c r="O36" s="1">
        <f>'ESTIMATE (INPUT)'!N36</f>
        <v/>
      </c>
      <c r="P36" s="1">
        <f>'ESTIMATE (INPUT)'!O36</f>
        <v/>
      </c>
      <c r="Q36" s="1">
        <f>'ESTIMATE (INPUT)'!P36</f>
        <v/>
      </c>
      <c r="R36" s="1">
        <f>'ESTIMATE (INPUT)'!Q36</f>
        <v/>
      </c>
      <c r="S36" s="1">
        <f>'ESTIMATE (INPUT)'!R36</f>
        <v/>
      </c>
      <c r="T36" s="1">
        <f>'ESTIMATE (INPUT)'!S36</f>
        <v/>
      </c>
      <c r="U36" s="12">
        <f>SUM(O36:T36)</f>
        <v/>
      </c>
    </row>
    <row r="37" hidden="1" ht="12" customHeight="1" s="195">
      <c r="A37" s="124">
        <f>'ESTIMATE (INPUT)'!A37</f>
        <v/>
      </c>
      <c r="B37" s="194">
        <f>'ESTIMATE (INPUT)'!B37</f>
        <v/>
      </c>
      <c r="D37" s="1">
        <f>'ESTIMATE (INPUT)'!D37</f>
        <v/>
      </c>
      <c r="E37" s="2">
        <f>'ESTIMATE (INPUT)'!E37</f>
        <v/>
      </c>
      <c r="F37" s="2" t="n"/>
      <c r="G37" s="91" t="n"/>
      <c r="H37" s="91" t="n"/>
      <c r="I37" s="91" t="n"/>
      <c r="J37" s="100" t="n"/>
      <c r="K37" s="100" t="n"/>
      <c r="L37" s="100" t="n"/>
      <c r="M37" s="100" t="n"/>
      <c r="N37" s="1">
        <f>'ESTIMATE (INPUT)'!M37</f>
        <v/>
      </c>
      <c r="O37" s="1">
        <f>'ESTIMATE (INPUT)'!N37</f>
        <v/>
      </c>
      <c r="P37" s="1">
        <f>'ESTIMATE (INPUT)'!O37</f>
        <v/>
      </c>
      <c r="Q37" s="1">
        <f>'ESTIMATE (INPUT)'!P37</f>
        <v/>
      </c>
      <c r="R37" s="1">
        <f>'ESTIMATE (INPUT)'!Q37</f>
        <v/>
      </c>
      <c r="S37" s="1">
        <f>'ESTIMATE (INPUT)'!R37</f>
        <v/>
      </c>
      <c r="T37" s="1">
        <f>'ESTIMATE (INPUT)'!S37</f>
        <v/>
      </c>
      <c r="U37" s="12">
        <f>SUM(O37:T37)</f>
        <v/>
      </c>
    </row>
    <row r="38" hidden="1" ht="12" customHeight="1" s="195">
      <c r="A38" s="124">
        <f>'ESTIMATE (INPUT)'!A38</f>
        <v/>
      </c>
      <c r="B38" s="194">
        <f>'ESTIMATE (INPUT)'!B38</f>
        <v/>
      </c>
      <c r="D38" s="1">
        <f>'ESTIMATE (INPUT)'!D38</f>
        <v/>
      </c>
      <c r="E38" s="2">
        <f>'ESTIMATE (INPUT)'!E38</f>
        <v/>
      </c>
      <c r="F38" s="2" t="n"/>
      <c r="G38" s="91" t="n"/>
      <c r="H38" s="91" t="n"/>
      <c r="I38" s="91" t="n"/>
      <c r="J38" s="100" t="n"/>
      <c r="K38" s="100" t="n"/>
      <c r="L38" s="100" t="n"/>
      <c r="M38" s="100" t="n"/>
      <c r="N38" s="1">
        <f>'ESTIMATE (INPUT)'!M38</f>
        <v/>
      </c>
      <c r="O38" s="1">
        <f>'ESTIMATE (INPUT)'!N38</f>
        <v/>
      </c>
      <c r="P38" s="1">
        <f>'ESTIMATE (INPUT)'!O38</f>
        <v/>
      </c>
      <c r="Q38" s="1">
        <f>'ESTIMATE (INPUT)'!P38</f>
        <v/>
      </c>
      <c r="R38" s="1">
        <f>'ESTIMATE (INPUT)'!Q38</f>
        <v/>
      </c>
      <c r="S38" s="1">
        <f>'ESTIMATE (INPUT)'!R38</f>
        <v/>
      </c>
      <c r="T38" s="1">
        <f>'ESTIMATE (INPUT)'!S38</f>
        <v/>
      </c>
      <c r="U38" s="12">
        <f>SUM(O38:T38)</f>
        <v/>
      </c>
    </row>
    <row r="39" hidden="1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91" t="n"/>
      <c r="N39" s="1" t="n"/>
      <c r="O39" s="1" t="n"/>
      <c r="P39" s="7" t="n"/>
      <c r="Q39" s="1" t="n"/>
      <c r="R39" s="1" t="n"/>
      <c r="S39" s="7" t="n"/>
      <c r="T39" s="7" t="n"/>
      <c r="U39" s="12" t="n"/>
    </row>
    <row r="40" ht="12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4" t="n"/>
      <c r="N40" s="93">
        <f>SUM(N27:N39)</f>
        <v/>
      </c>
      <c r="O40" s="93">
        <f>SUM(O27:O39)</f>
        <v/>
      </c>
      <c r="P40" s="95">
        <f>SUM(P27:P39)</f>
        <v/>
      </c>
      <c r="Q40" s="93">
        <f>SUM(Q27:Q39)</f>
        <v/>
      </c>
      <c r="R40" s="93">
        <f>SUM(R27:R39)</f>
        <v/>
      </c>
      <c r="S40" s="95">
        <f>SUM(S27:S39)</f>
        <v/>
      </c>
      <c r="T40" s="95">
        <f>SUM(T27:T39)</f>
        <v/>
      </c>
      <c r="U40" s="98">
        <f>SUM(U27:U39)</f>
        <v/>
      </c>
    </row>
    <row r="41" ht="10" customHeight="1" s="195">
      <c r="A41" s="154" t="n"/>
      <c r="B41" s="155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58">
        <f>U54</f>
        <v/>
      </c>
      <c r="N41" s="1" t="n"/>
      <c r="O41" s="1" t="n"/>
      <c r="P41" s="7" t="n"/>
      <c r="Q41" s="1" t="n"/>
      <c r="R41" s="1" t="n"/>
      <c r="S41" s="1" t="n"/>
      <c r="T41" s="7" t="n"/>
      <c r="U41" s="155" t="n"/>
    </row>
    <row r="42" ht="12" customHeight="1" s="195">
      <c r="A42" s="124">
        <f>'ESTIMATE (INPUT)'!A42</f>
        <v/>
      </c>
      <c r="B42" s="194">
        <f>'ESTIMATE (INPUT)'!B42</f>
        <v/>
      </c>
      <c r="D42" s="1">
        <f>'ESTIMATE (INPUT)'!D42</f>
        <v/>
      </c>
      <c r="E42" s="2">
        <f>'ESTIMATE (INPUT)'!E42</f>
        <v/>
      </c>
      <c r="F42" s="2" t="n"/>
      <c r="G42" s="91" t="n"/>
      <c r="H42" s="91" t="n"/>
      <c r="I42" s="91" t="n"/>
      <c r="J42" s="100" t="n"/>
      <c r="K42" s="100" t="n"/>
      <c r="L42" s="100" t="n"/>
      <c r="M42" s="100" t="n"/>
      <c r="N42" s="1">
        <f>'ESTIMATE (INPUT)'!M42</f>
        <v/>
      </c>
      <c r="O42" s="1">
        <f>'ESTIMATE (INPUT)'!N42</f>
        <v/>
      </c>
      <c r="P42" s="1">
        <f>'ESTIMATE (INPUT)'!O42</f>
        <v/>
      </c>
      <c r="Q42" s="1">
        <f>'ESTIMATE (INPUT)'!P42</f>
        <v/>
      </c>
      <c r="R42" s="1">
        <f>'ESTIMATE (INPUT)'!Q42</f>
        <v/>
      </c>
      <c r="S42" s="1">
        <f>'ESTIMATE (INPUT)'!R42</f>
        <v/>
      </c>
      <c r="T42" s="1">
        <f>'ESTIMATE (INPUT)'!S42</f>
        <v/>
      </c>
      <c r="U42" s="12">
        <f>SUM(O42:T42)</f>
        <v/>
      </c>
    </row>
    <row r="43" ht="12" customHeight="1" s="195">
      <c r="A43" s="124">
        <f>'ESTIMATE (INPUT)'!A43</f>
        <v/>
      </c>
      <c r="B43" s="194">
        <f>'ESTIMATE (INPUT)'!B43</f>
        <v/>
      </c>
      <c r="D43" s="1">
        <f>'ESTIMATE (INPUT)'!D43</f>
        <v/>
      </c>
      <c r="E43" s="2">
        <f>'ESTIMATE (INPUT)'!E43</f>
        <v/>
      </c>
      <c r="F43" s="2" t="n"/>
      <c r="G43" s="91" t="n"/>
      <c r="H43" s="91" t="n"/>
      <c r="I43" s="91" t="n"/>
      <c r="J43" s="100" t="n"/>
      <c r="K43" s="100" t="n"/>
      <c r="L43" s="100" t="n"/>
      <c r="M43" s="100" t="n"/>
      <c r="N43" s="1">
        <f>'ESTIMATE (INPUT)'!M43</f>
        <v/>
      </c>
      <c r="O43" s="1">
        <f>'ESTIMATE (INPUT)'!N43</f>
        <v/>
      </c>
      <c r="P43" s="1">
        <f>'ESTIMATE (INPUT)'!O43</f>
        <v/>
      </c>
      <c r="Q43" s="1">
        <f>'ESTIMATE (INPUT)'!P43</f>
        <v/>
      </c>
      <c r="R43" s="1">
        <f>'ESTIMATE (INPUT)'!Q43</f>
        <v/>
      </c>
      <c r="S43" s="1">
        <f>'ESTIMATE (INPUT)'!R43</f>
        <v/>
      </c>
      <c r="T43" s="1">
        <f>'ESTIMATE (INPUT)'!S43</f>
        <v/>
      </c>
      <c r="U43" s="12">
        <f>SUM(O43:T43)</f>
        <v/>
      </c>
    </row>
    <row r="44" ht="12" customHeight="1" s="195">
      <c r="A44" s="124">
        <f>'ESTIMATE (INPUT)'!A44</f>
        <v/>
      </c>
      <c r="B44" s="194">
        <f>'ESTIMATE (INPUT)'!B44</f>
        <v/>
      </c>
      <c r="D44" s="1">
        <f>'ESTIMATE (INPUT)'!D44</f>
        <v/>
      </c>
      <c r="E44" s="2">
        <f>'ESTIMATE (INPUT)'!E44</f>
        <v/>
      </c>
      <c r="F44" s="2" t="n"/>
      <c r="G44" s="91" t="n"/>
      <c r="H44" s="91" t="n"/>
      <c r="I44" s="91" t="n"/>
      <c r="J44" s="100" t="n"/>
      <c r="K44" s="100" t="n"/>
      <c r="L44" s="100" t="n"/>
      <c r="M44" s="100" t="n"/>
      <c r="N44" s="1">
        <f>'ESTIMATE (INPUT)'!M44</f>
        <v/>
      </c>
      <c r="O44" s="1">
        <f>'ESTIMATE (INPUT)'!N44</f>
        <v/>
      </c>
      <c r="P44" s="1">
        <f>'ESTIMATE (INPUT)'!O44</f>
        <v/>
      </c>
      <c r="Q44" s="1">
        <f>'ESTIMATE (INPUT)'!P44</f>
        <v/>
      </c>
      <c r="R44" s="1">
        <f>'ESTIMATE (INPUT)'!Q44</f>
        <v/>
      </c>
      <c r="S44" s="1">
        <f>'ESTIMATE (INPUT)'!R44</f>
        <v/>
      </c>
      <c r="T44" s="1">
        <f>'ESTIMATE (INPUT)'!S44</f>
        <v/>
      </c>
      <c r="U44" s="12">
        <f>SUM(O44:T44)</f>
        <v/>
      </c>
    </row>
    <row r="45" ht="12" customHeight="1" s="195">
      <c r="A45" s="124">
        <f>'ESTIMATE (INPUT)'!A45</f>
        <v/>
      </c>
      <c r="B45" s="194">
        <f>'ESTIMATE (INPUT)'!B45</f>
        <v/>
      </c>
      <c r="D45" s="1">
        <f>'ESTIMATE (INPUT)'!D45</f>
        <v/>
      </c>
      <c r="E45" s="2">
        <f>'ESTIMATE (INPUT)'!E45</f>
        <v/>
      </c>
      <c r="F45" s="2" t="n"/>
      <c r="G45" s="91" t="n"/>
      <c r="H45" s="91" t="n"/>
      <c r="I45" s="91" t="n"/>
      <c r="J45" s="100" t="n"/>
      <c r="K45" s="100" t="n"/>
      <c r="L45" s="100" t="n"/>
      <c r="M45" s="100" t="n"/>
      <c r="N45" s="1">
        <f>'ESTIMATE (INPUT)'!M45</f>
        <v/>
      </c>
      <c r="O45" s="1">
        <f>'ESTIMATE (INPUT)'!N45</f>
        <v/>
      </c>
      <c r="P45" s="1">
        <f>'ESTIMATE (INPUT)'!O45</f>
        <v/>
      </c>
      <c r="Q45" s="1">
        <f>'ESTIMATE (INPUT)'!P45</f>
        <v/>
      </c>
      <c r="R45" s="1">
        <f>'ESTIMATE (INPUT)'!Q45</f>
        <v/>
      </c>
      <c r="S45" s="1">
        <f>'ESTIMATE (INPUT)'!R45</f>
        <v/>
      </c>
      <c r="T45" s="1">
        <f>'ESTIMATE (INPUT)'!S45</f>
        <v/>
      </c>
      <c r="U45" s="12">
        <f>SUM(O45:T45)</f>
        <v/>
      </c>
    </row>
    <row r="46" ht="12" customHeight="1" s="195">
      <c r="A46" s="124">
        <f>'ESTIMATE (INPUT)'!A46</f>
        <v/>
      </c>
      <c r="B46" s="194">
        <f>'ESTIMATE (INPUT)'!B46</f>
        <v/>
      </c>
      <c r="D46" s="1">
        <f>'ESTIMATE (INPUT)'!D46</f>
        <v/>
      </c>
      <c r="E46" s="2">
        <f>'ESTIMATE (INPUT)'!E46</f>
        <v/>
      </c>
      <c r="F46" s="2" t="n"/>
      <c r="G46" s="91" t="n"/>
      <c r="H46" s="91" t="n"/>
      <c r="I46" s="91" t="n"/>
      <c r="J46" s="100" t="n"/>
      <c r="K46" s="100" t="n"/>
      <c r="L46" s="100" t="n"/>
      <c r="M46" s="100" t="n"/>
      <c r="N46" s="1">
        <f>'ESTIMATE (INPUT)'!M46</f>
        <v/>
      </c>
      <c r="O46" s="1">
        <f>'ESTIMATE (INPUT)'!N46</f>
        <v/>
      </c>
      <c r="P46" s="1">
        <f>'ESTIMATE (INPUT)'!O46</f>
        <v/>
      </c>
      <c r="Q46" s="1">
        <f>'ESTIMATE (INPUT)'!P46</f>
        <v/>
      </c>
      <c r="R46" s="1">
        <f>'ESTIMATE (INPUT)'!Q46</f>
        <v/>
      </c>
      <c r="S46" s="1">
        <f>'ESTIMATE (INPUT)'!R46</f>
        <v/>
      </c>
      <c r="T46" s="1">
        <f>'ESTIMATE (INPUT)'!S46</f>
        <v/>
      </c>
      <c r="U46" s="12">
        <f>SUM(O46:T46)</f>
        <v/>
      </c>
    </row>
    <row r="47" ht="12" customHeight="1" s="195">
      <c r="A47" s="124">
        <f>'ESTIMATE (INPUT)'!A47</f>
        <v/>
      </c>
      <c r="B47" s="194">
        <f>'ESTIMATE (INPUT)'!B47</f>
        <v/>
      </c>
      <c r="D47" s="1">
        <f>'ESTIMATE (INPUT)'!D47</f>
        <v/>
      </c>
      <c r="E47" s="2">
        <f>'ESTIMATE (INPUT)'!E47</f>
        <v/>
      </c>
      <c r="F47" s="2" t="n"/>
      <c r="G47" s="91" t="n"/>
      <c r="H47" s="91" t="n"/>
      <c r="I47" s="91" t="n"/>
      <c r="J47" s="100" t="n"/>
      <c r="K47" s="100" t="n"/>
      <c r="L47" s="100" t="n"/>
      <c r="M47" s="100" t="n"/>
      <c r="N47" s="1">
        <f>'ESTIMATE (INPUT)'!M47</f>
        <v/>
      </c>
      <c r="O47" s="1">
        <f>'ESTIMATE (INPUT)'!N47</f>
        <v/>
      </c>
      <c r="P47" s="1">
        <f>'ESTIMATE (INPUT)'!O47</f>
        <v/>
      </c>
      <c r="Q47" s="1">
        <f>'ESTIMATE (INPUT)'!P47</f>
        <v/>
      </c>
      <c r="R47" s="1">
        <f>'ESTIMATE (INPUT)'!Q47</f>
        <v/>
      </c>
      <c r="S47" s="1">
        <f>'ESTIMATE (INPUT)'!R47</f>
        <v/>
      </c>
      <c r="T47" s="1">
        <f>'ESTIMATE (INPUT)'!S47</f>
        <v/>
      </c>
      <c r="U47" s="12">
        <f>SUM(O47:T47)</f>
        <v/>
      </c>
    </row>
    <row r="48" hidden="1" ht="12" customHeight="1" s="195">
      <c r="A48" s="124">
        <f>'ESTIMATE (INPUT)'!A48</f>
        <v/>
      </c>
      <c r="B48" s="194">
        <f>'ESTIMATE (INPUT)'!B48</f>
        <v/>
      </c>
      <c r="D48" s="1">
        <f>'ESTIMATE (INPUT)'!D48</f>
        <v/>
      </c>
      <c r="E48" s="2">
        <f>'ESTIMATE (INPUT)'!E48</f>
        <v/>
      </c>
      <c r="F48" s="2" t="n"/>
      <c r="G48" s="91" t="n"/>
      <c r="H48" s="91" t="n"/>
      <c r="I48" s="91" t="n"/>
      <c r="J48" s="100" t="n"/>
      <c r="K48" s="100" t="n"/>
      <c r="L48" s="100" t="n"/>
      <c r="M48" s="100" t="n"/>
      <c r="N48" s="1">
        <f>'ESTIMATE (INPUT)'!M48</f>
        <v/>
      </c>
      <c r="O48" s="1">
        <f>'ESTIMATE (INPUT)'!N48</f>
        <v/>
      </c>
      <c r="P48" s="1">
        <f>'ESTIMATE (INPUT)'!O48</f>
        <v/>
      </c>
      <c r="Q48" s="1">
        <f>'ESTIMATE (INPUT)'!P48</f>
        <v/>
      </c>
      <c r="R48" s="1">
        <f>'ESTIMATE (INPUT)'!Q48</f>
        <v/>
      </c>
      <c r="S48" s="1">
        <f>'ESTIMATE (INPUT)'!R48</f>
        <v/>
      </c>
      <c r="T48" s="1">
        <f>'ESTIMATE (INPUT)'!S48</f>
        <v/>
      </c>
      <c r="U48" s="12">
        <f>SUM(O48:T48)</f>
        <v/>
      </c>
    </row>
    <row r="49" hidden="1" ht="12" customHeight="1" s="195">
      <c r="A49" s="124">
        <f>'ESTIMATE (INPUT)'!A49</f>
        <v/>
      </c>
      <c r="B49" s="194">
        <f>'ESTIMATE (INPUT)'!B49</f>
        <v/>
      </c>
      <c r="D49" s="1">
        <f>'ESTIMATE (INPUT)'!D49</f>
        <v/>
      </c>
      <c r="E49" s="2">
        <f>'ESTIMATE (INPUT)'!E49</f>
        <v/>
      </c>
      <c r="F49" s="2" t="n"/>
      <c r="G49" s="91" t="n"/>
      <c r="H49" s="91" t="n"/>
      <c r="I49" s="91" t="n"/>
      <c r="J49" s="100" t="n"/>
      <c r="K49" s="100" t="n"/>
      <c r="L49" s="100" t="n"/>
      <c r="M49" s="100" t="n"/>
      <c r="N49" s="1">
        <f>'ESTIMATE (INPUT)'!M49</f>
        <v/>
      </c>
      <c r="O49" s="1">
        <f>'ESTIMATE (INPUT)'!N49</f>
        <v/>
      </c>
      <c r="P49" s="1">
        <f>'ESTIMATE (INPUT)'!O49</f>
        <v/>
      </c>
      <c r="Q49" s="1">
        <f>'ESTIMATE (INPUT)'!P49</f>
        <v/>
      </c>
      <c r="R49" s="1">
        <f>'ESTIMATE (INPUT)'!Q49</f>
        <v/>
      </c>
      <c r="S49" s="1">
        <f>'ESTIMATE (INPUT)'!R49</f>
        <v/>
      </c>
      <c r="T49" s="1">
        <f>'ESTIMATE (INPUT)'!S49</f>
        <v/>
      </c>
      <c r="U49" s="12">
        <f>SUM(O49:T49)</f>
        <v/>
      </c>
    </row>
    <row r="50" hidden="1" ht="12" customHeight="1" s="195">
      <c r="A50" s="124">
        <f>'ESTIMATE (INPUT)'!A50</f>
        <v/>
      </c>
      <c r="B50" s="194">
        <f>'ESTIMATE (INPUT)'!B50</f>
        <v/>
      </c>
      <c r="D50" s="1">
        <f>'ESTIMATE (INPUT)'!D50</f>
        <v/>
      </c>
      <c r="E50" s="2">
        <f>'ESTIMATE (INPUT)'!E50</f>
        <v/>
      </c>
      <c r="F50" s="2" t="n"/>
      <c r="G50" s="91" t="n"/>
      <c r="H50" s="91" t="n"/>
      <c r="I50" s="91" t="n"/>
      <c r="J50" s="100" t="n"/>
      <c r="K50" s="100" t="n"/>
      <c r="L50" s="100" t="n"/>
      <c r="M50" s="100" t="n"/>
      <c r="N50" s="1">
        <f>'ESTIMATE (INPUT)'!M50</f>
        <v/>
      </c>
      <c r="O50" s="1">
        <f>'ESTIMATE (INPUT)'!N50</f>
        <v/>
      </c>
      <c r="P50" s="1">
        <f>'ESTIMATE (INPUT)'!O50</f>
        <v/>
      </c>
      <c r="Q50" s="1">
        <f>'ESTIMATE (INPUT)'!P50</f>
        <v/>
      </c>
      <c r="R50" s="1">
        <f>'ESTIMATE (INPUT)'!Q50</f>
        <v/>
      </c>
      <c r="S50" s="1">
        <f>'ESTIMATE (INPUT)'!R50</f>
        <v/>
      </c>
      <c r="T50" s="1">
        <f>'ESTIMATE (INPUT)'!S50</f>
        <v/>
      </c>
      <c r="U50" s="12">
        <f>SUM(O50:T50)</f>
        <v/>
      </c>
    </row>
    <row r="51" hidden="1" ht="12" customHeight="1" s="195">
      <c r="A51" s="124">
        <f>'ESTIMATE (INPUT)'!A51</f>
        <v/>
      </c>
      <c r="B51" s="194">
        <f>'ESTIMATE (INPUT)'!B51</f>
        <v/>
      </c>
      <c r="D51" s="1">
        <f>'ESTIMATE (INPUT)'!D51</f>
        <v/>
      </c>
      <c r="E51" s="2">
        <f>'ESTIMATE (INPUT)'!E51</f>
        <v/>
      </c>
      <c r="F51" s="2" t="n"/>
      <c r="G51" s="91" t="n"/>
      <c r="H51" s="91" t="n"/>
      <c r="I51" s="91" t="n"/>
      <c r="J51" s="100" t="n"/>
      <c r="K51" s="100" t="n"/>
      <c r="L51" s="100" t="n"/>
      <c r="M51" s="100" t="n"/>
      <c r="N51" s="1">
        <f>'ESTIMATE (INPUT)'!M51</f>
        <v/>
      </c>
      <c r="O51" s="1">
        <f>'ESTIMATE (INPUT)'!N51</f>
        <v/>
      </c>
      <c r="P51" s="1">
        <f>'ESTIMATE (INPUT)'!O51</f>
        <v/>
      </c>
      <c r="Q51" s="1">
        <f>'ESTIMATE (INPUT)'!P51</f>
        <v/>
      </c>
      <c r="R51" s="1">
        <f>'ESTIMATE (INPUT)'!Q51</f>
        <v/>
      </c>
      <c r="S51" s="1">
        <f>'ESTIMATE (INPUT)'!R51</f>
        <v/>
      </c>
      <c r="T51" s="1">
        <f>'ESTIMATE (INPUT)'!S51</f>
        <v/>
      </c>
      <c r="U51" s="12">
        <f>SUM(O51:T51)</f>
        <v/>
      </c>
    </row>
    <row r="52" hidden="1" ht="12" customHeight="1" s="195">
      <c r="A52" s="124">
        <f>'ESTIMATE (INPUT)'!A52</f>
        <v/>
      </c>
      <c r="B52" s="194">
        <f>'ESTIMATE (INPUT)'!B52</f>
        <v/>
      </c>
      <c r="D52" s="1">
        <f>'ESTIMATE (INPUT)'!D52</f>
        <v/>
      </c>
      <c r="E52" s="2">
        <f>'ESTIMATE (INPUT)'!E52</f>
        <v/>
      </c>
      <c r="F52" s="2" t="n"/>
      <c r="G52" s="91" t="n"/>
      <c r="H52" s="91" t="n"/>
      <c r="I52" s="91" t="n"/>
      <c r="J52" s="100" t="n"/>
      <c r="K52" s="100" t="n"/>
      <c r="L52" s="100" t="n"/>
      <c r="M52" s="100" t="n"/>
      <c r="N52" s="1">
        <f>'ESTIMATE (INPUT)'!M52</f>
        <v/>
      </c>
      <c r="O52" s="1">
        <f>'ESTIMATE (INPUT)'!N52</f>
        <v/>
      </c>
      <c r="P52" s="1">
        <f>'ESTIMATE (INPUT)'!O52</f>
        <v/>
      </c>
      <c r="Q52" s="1">
        <f>'ESTIMATE (INPUT)'!P52</f>
        <v/>
      </c>
      <c r="R52" s="1">
        <f>'ESTIMATE (INPUT)'!Q52</f>
        <v/>
      </c>
      <c r="S52" s="1">
        <f>'ESTIMATE (INPUT)'!R52</f>
        <v/>
      </c>
      <c r="T52" s="1">
        <f>'ESTIMATE (INPUT)'!S52</f>
        <v/>
      </c>
      <c r="U52" s="12">
        <f>SUM(O52:T52)</f>
        <v/>
      </c>
    </row>
    <row r="53" hidden="1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91" t="n"/>
      <c r="N53" s="1" t="n"/>
      <c r="O53" s="1" t="n"/>
      <c r="P53" s="7" t="n"/>
      <c r="Q53" s="1" t="n"/>
      <c r="R53" s="1" t="n"/>
      <c r="S53" s="7" t="n"/>
      <c r="T53" s="7" t="n"/>
      <c r="U53" s="12" t="n"/>
    </row>
    <row r="54" ht="12" customHeight="1" s="195">
      <c r="A54" s="125" t="n">
        <v>1700</v>
      </c>
      <c r="B54" s="93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4" t="n"/>
      <c r="N54" s="93">
        <f>SUM(N41:N53)</f>
        <v/>
      </c>
      <c r="O54" s="93">
        <f>SUM(O41:O53)</f>
        <v/>
      </c>
      <c r="P54" s="95">
        <f>SUM(P41:P53)</f>
        <v/>
      </c>
      <c r="Q54" s="93">
        <f>SUM(Q41:Q53)</f>
        <v/>
      </c>
      <c r="R54" s="93">
        <f>SUM(R41:R53)</f>
        <v/>
      </c>
      <c r="S54" s="95">
        <f>SUM(S41:S53)</f>
        <v/>
      </c>
      <c r="T54" s="95">
        <f>SUM(T41:T53)</f>
        <v/>
      </c>
      <c r="U54" s="98">
        <f>SUM(U41:U53)</f>
        <v/>
      </c>
    </row>
    <row r="55" ht="10" customHeight="1" s="195">
      <c r="A55" s="154" t="n"/>
      <c r="B55" s="155" t="n"/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58">
        <f>U66</f>
        <v/>
      </c>
      <c r="N55" s="1" t="n"/>
      <c r="O55" s="1" t="n"/>
      <c r="P55" s="7" t="n"/>
      <c r="Q55" s="1" t="n"/>
      <c r="R55" s="1" t="n"/>
      <c r="S55" s="1" t="n"/>
      <c r="T55" s="7" t="n"/>
      <c r="U55" s="155" t="n"/>
    </row>
    <row r="56" ht="12" customHeight="1" s="195">
      <c r="A56" s="124">
        <f>'ESTIMATE (INPUT)'!A56</f>
        <v/>
      </c>
      <c r="B56" s="194">
        <f>'ESTIMATE (INPUT)'!B56</f>
        <v/>
      </c>
      <c r="D56" s="1">
        <f>'ESTIMATE (INPUT)'!D56</f>
        <v/>
      </c>
      <c r="E56" s="2">
        <f>'ESTIMATE (INPUT)'!E56</f>
        <v/>
      </c>
      <c r="F56" s="2" t="n"/>
      <c r="G56" s="91" t="n"/>
      <c r="H56" s="91" t="n"/>
      <c r="I56" s="91" t="n"/>
      <c r="J56" s="100" t="n"/>
      <c r="K56" s="100" t="n"/>
      <c r="L56" s="100" t="n"/>
      <c r="M56" s="100" t="n"/>
      <c r="N56" s="1">
        <f>'ESTIMATE (INPUT)'!M56</f>
        <v/>
      </c>
      <c r="O56" s="1">
        <f>'ESTIMATE (INPUT)'!N56</f>
        <v/>
      </c>
      <c r="P56" s="1">
        <f>'ESTIMATE (INPUT)'!O56</f>
        <v/>
      </c>
      <c r="Q56" s="1">
        <f>'ESTIMATE (INPUT)'!P56</f>
        <v/>
      </c>
      <c r="R56" s="1">
        <f>'ESTIMATE (INPUT)'!Q56</f>
        <v/>
      </c>
      <c r="S56" s="1">
        <f>'ESTIMATE (INPUT)'!R56</f>
        <v/>
      </c>
      <c r="T56" s="1">
        <f>'ESTIMATE (INPUT)'!S56</f>
        <v/>
      </c>
      <c r="U56" s="12">
        <f>SUM(O56:T56)</f>
        <v/>
      </c>
    </row>
    <row r="57" hidden="1" ht="12" customHeight="1" s="195">
      <c r="A57" s="124">
        <f>'ESTIMATE (INPUT)'!A57</f>
        <v/>
      </c>
      <c r="B57" s="194">
        <f>'ESTIMATE (INPUT)'!B57</f>
        <v/>
      </c>
      <c r="D57" s="1">
        <f>'ESTIMATE (INPUT)'!D57</f>
        <v/>
      </c>
      <c r="E57" s="2">
        <f>'ESTIMATE (INPUT)'!E57</f>
        <v/>
      </c>
      <c r="F57" s="2" t="n"/>
      <c r="G57" s="91" t="n"/>
      <c r="H57" s="91" t="n"/>
      <c r="I57" s="91" t="n"/>
      <c r="J57" s="100" t="n"/>
      <c r="K57" s="100" t="n"/>
      <c r="L57" s="100" t="n"/>
      <c r="M57" s="100" t="n"/>
      <c r="N57" s="1">
        <f>'ESTIMATE (INPUT)'!M57</f>
        <v/>
      </c>
      <c r="O57" s="1">
        <f>'ESTIMATE (INPUT)'!N57</f>
        <v/>
      </c>
      <c r="P57" s="1">
        <f>'ESTIMATE (INPUT)'!O57</f>
        <v/>
      </c>
      <c r="Q57" s="1">
        <f>'ESTIMATE (INPUT)'!P57</f>
        <v/>
      </c>
      <c r="R57" s="1">
        <f>'ESTIMATE (INPUT)'!Q57</f>
        <v/>
      </c>
      <c r="S57" s="1">
        <f>'ESTIMATE (INPUT)'!R57</f>
        <v/>
      </c>
      <c r="T57" s="1">
        <f>'ESTIMATE (INPUT)'!S57</f>
        <v/>
      </c>
      <c r="U57" s="12">
        <f>SUM(O57:T57)</f>
        <v/>
      </c>
    </row>
    <row r="58" hidden="1" ht="12" customHeight="1" s="195">
      <c r="A58" s="124">
        <f>'ESTIMATE (INPUT)'!A58</f>
        <v/>
      </c>
      <c r="B58" s="194">
        <f>'ESTIMATE (INPUT)'!B58</f>
        <v/>
      </c>
      <c r="D58" s="1">
        <f>'ESTIMATE (INPUT)'!D58</f>
        <v/>
      </c>
      <c r="E58" s="2">
        <f>'ESTIMATE (INPUT)'!E58</f>
        <v/>
      </c>
      <c r="F58" s="2" t="n"/>
      <c r="G58" s="91" t="n"/>
      <c r="H58" s="91" t="n"/>
      <c r="I58" s="91" t="n"/>
      <c r="J58" s="100" t="n"/>
      <c r="K58" s="100" t="n"/>
      <c r="L58" s="100" t="n"/>
      <c r="M58" s="100" t="n"/>
      <c r="N58" s="1">
        <f>'ESTIMATE (INPUT)'!M58</f>
        <v/>
      </c>
      <c r="O58" s="1">
        <f>'ESTIMATE (INPUT)'!N58</f>
        <v/>
      </c>
      <c r="P58" s="1">
        <f>'ESTIMATE (INPUT)'!O58</f>
        <v/>
      </c>
      <c r="Q58" s="1">
        <f>'ESTIMATE (INPUT)'!P58</f>
        <v/>
      </c>
      <c r="R58" s="1">
        <f>'ESTIMATE (INPUT)'!Q58</f>
        <v/>
      </c>
      <c r="S58" s="1">
        <f>'ESTIMATE (INPUT)'!R58</f>
        <v/>
      </c>
      <c r="T58" s="1">
        <f>'ESTIMATE (INPUT)'!S58</f>
        <v/>
      </c>
      <c r="U58" s="12">
        <f>SUM(O58:T58)</f>
        <v/>
      </c>
    </row>
    <row r="59" hidden="1" ht="12" customHeight="1" s="195">
      <c r="A59" s="124">
        <f>'ESTIMATE (INPUT)'!A59</f>
        <v/>
      </c>
      <c r="B59" s="194">
        <f>'ESTIMATE (INPUT)'!B59</f>
        <v/>
      </c>
      <c r="D59" s="1">
        <f>'ESTIMATE (INPUT)'!D59</f>
        <v/>
      </c>
      <c r="E59" s="2">
        <f>'ESTIMATE (INPUT)'!E59</f>
        <v/>
      </c>
      <c r="F59" s="2" t="n"/>
      <c r="G59" s="91" t="n"/>
      <c r="H59" s="91" t="n"/>
      <c r="I59" s="91" t="n"/>
      <c r="J59" s="100" t="n"/>
      <c r="K59" s="100" t="n"/>
      <c r="L59" s="100" t="n"/>
      <c r="M59" s="100" t="n"/>
      <c r="N59" s="1">
        <f>'ESTIMATE (INPUT)'!M59</f>
        <v/>
      </c>
      <c r="O59" s="1">
        <f>'ESTIMATE (INPUT)'!N59</f>
        <v/>
      </c>
      <c r="P59" s="1">
        <f>'ESTIMATE (INPUT)'!O59</f>
        <v/>
      </c>
      <c r="Q59" s="1">
        <f>'ESTIMATE (INPUT)'!P59</f>
        <v/>
      </c>
      <c r="R59" s="1">
        <f>'ESTIMATE (INPUT)'!Q59</f>
        <v/>
      </c>
      <c r="S59" s="1">
        <f>'ESTIMATE (INPUT)'!R59</f>
        <v/>
      </c>
      <c r="T59" s="1">
        <f>'ESTIMATE (INPUT)'!S59</f>
        <v/>
      </c>
      <c r="U59" s="12">
        <f>SUM(O59:T59)</f>
        <v/>
      </c>
    </row>
    <row r="60" hidden="1" ht="12" customHeight="1" s="195">
      <c r="A60" s="124">
        <f>'ESTIMATE (INPUT)'!A60</f>
        <v/>
      </c>
      <c r="B60" s="194">
        <f>'ESTIMATE (INPUT)'!B60</f>
        <v/>
      </c>
      <c r="D60" s="1">
        <f>'ESTIMATE (INPUT)'!D60</f>
        <v/>
      </c>
      <c r="E60" s="2">
        <f>'ESTIMATE (INPUT)'!E60</f>
        <v/>
      </c>
      <c r="F60" s="2" t="n"/>
      <c r="G60" s="91" t="n"/>
      <c r="H60" s="91" t="n"/>
      <c r="I60" s="91" t="n"/>
      <c r="J60" s="100" t="n"/>
      <c r="K60" s="100" t="n"/>
      <c r="L60" s="100" t="n"/>
      <c r="M60" s="100" t="n"/>
      <c r="N60" s="1">
        <f>'ESTIMATE (INPUT)'!M60</f>
        <v/>
      </c>
      <c r="O60" s="1">
        <f>'ESTIMATE (INPUT)'!N60</f>
        <v/>
      </c>
      <c r="P60" s="1">
        <f>'ESTIMATE (INPUT)'!O60</f>
        <v/>
      </c>
      <c r="Q60" s="1">
        <f>'ESTIMATE (INPUT)'!P60</f>
        <v/>
      </c>
      <c r="R60" s="1">
        <f>'ESTIMATE (INPUT)'!Q60</f>
        <v/>
      </c>
      <c r="S60" s="1">
        <f>'ESTIMATE (INPUT)'!R60</f>
        <v/>
      </c>
      <c r="T60" s="1">
        <f>'ESTIMATE (INPUT)'!S60</f>
        <v/>
      </c>
      <c r="U60" s="12">
        <f>SUM(O60:T60)</f>
        <v/>
      </c>
    </row>
    <row r="61" ht="12" customHeight="1" s="195">
      <c r="A61" s="124">
        <f>'ESTIMATE (INPUT)'!A61</f>
        <v/>
      </c>
      <c r="B61" s="194">
        <f>'ESTIMATE (INPUT)'!B61</f>
        <v/>
      </c>
      <c r="D61" s="1">
        <f>'ESTIMATE (INPUT)'!D61</f>
        <v/>
      </c>
      <c r="E61" s="2">
        <f>'ESTIMATE (INPUT)'!E61</f>
        <v/>
      </c>
      <c r="F61" s="2" t="n"/>
      <c r="G61" s="91" t="n"/>
      <c r="H61" s="91" t="n"/>
      <c r="I61" s="91" t="n"/>
      <c r="J61" s="100" t="n"/>
      <c r="K61" s="100" t="n"/>
      <c r="L61" s="100" t="n"/>
      <c r="M61" s="100" t="n"/>
      <c r="N61" s="1">
        <f>'ESTIMATE (INPUT)'!M61</f>
        <v/>
      </c>
      <c r="O61" s="1">
        <f>'ESTIMATE (INPUT)'!N61</f>
        <v/>
      </c>
      <c r="P61" s="1">
        <f>'ESTIMATE (INPUT)'!O61</f>
        <v/>
      </c>
      <c r="Q61" s="1">
        <f>'ESTIMATE (INPUT)'!P61</f>
        <v/>
      </c>
      <c r="R61" s="1">
        <f>'ESTIMATE (INPUT)'!Q61</f>
        <v/>
      </c>
      <c r="S61" s="1">
        <f>'ESTIMATE (INPUT)'!R61</f>
        <v/>
      </c>
      <c r="T61" s="1">
        <f>'ESTIMATE (INPUT)'!S61</f>
        <v/>
      </c>
      <c r="U61" s="12">
        <f>SUM(O61:T61)</f>
        <v/>
      </c>
    </row>
    <row r="62" hidden="1" ht="12" customHeight="1" s="195">
      <c r="A62" s="124">
        <f>'ESTIMATE (INPUT)'!A62</f>
        <v/>
      </c>
      <c r="B62" s="194">
        <f>'ESTIMATE (INPUT)'!B62</f>
        <v/>
      </c>
      <c r="D62" s="1">
        <f>'ESTIMATE (INPUT)'!D62</f>
        <v/>
      </c>
      <c r="E62" s="2">
        <f>'ESTIMATE (INPUT)'!E62</f>
        <v/>
      </c>
      <c r="F62" s="2" t="n"/>
      <c r="G62" s="91" t="n"/>
      <c r="H62" s="91" t="n"/>
      <c r="I62" s="91" t="n"/>
      <c r="J62" s="100" t="n"/>
      <c r="K62" s="100" t="n"/>
      <c r="L62" s="100" t="n"/>
      <c r="M62" s="100" t="n"/>
      <c r="N62" s="1">
        <f>'ESTIMATE (INPUT)'!M62</f>
        <v/>
      </c>
      <c r="O62" s="1">
        <f>'ESTIMATE (INPUT)'!N62</f>
        <v/>
      </c>
      <c r="P62" s="1">
        <f>'ESTIMATE (INPUT)'!O62</f>
        <v/>
      </c>
      <c r="Q62" s="1">
        <f>'ESTIMATE (INPUT)'!P62</f>
        <v/>
      </c>
      <c r="R62" s="1">
        <f>'ESTIMATE (INPUT)'!Q62</f>
        <v/>
      </c>
      <c r="S62" s="1">
        <f>'ESTIMATE (INPUT)'!R62</f>
        <v/>
      </c>
      <c r="T62" s="1">
        <f>'ESTIMATE (INPUT)'!S62</f>
        <v/>
      </c>
      <c r="U62" s="12">
        <f>SUM(O62:T62)</f>
        <v/>
      </c>
    </row>
    <row r="63" hidden="1" ht="12" customHeight="1" s="195">
      <c r="A63" s="124">
        <f>'ESTIMATE (INPUT)'!A63</f>
        <v/>
      </c>
      <c r="B63" s="194">
        <f>'ESTIMATE (INPUT)'!B63</f>
        <v/>
      </c>
      <c r="D63" s="1">
        <f>'ESTIMATE (INPUT)'!D63</f>
        <v/>
      </c>
      <c r="E63" s="2">
        <f>'ESTIMATE (INPUT)'!E63</f>
        <v/>
      </c>
      <c r="F63" s="2" t="n"/>
      <c r="G63" s="91" t="n"/>
      <c r="H63" s="91" t="n"/>
      <c r="I63" s="91" t="n"/>
      <c r="J63" s="100" t="n"/>
      <c r="K63" s="100" t="n"/>
      <c r="L63" s="100" t="n"/>
      <c r="M63" s="100" t="n"/>
      <c r="N63" s="1">
        <f>'ESTIMATE (INPUT)'!M63</f>
        <v/>
      </c>
      <c r="O63" s="1">
        <f>'ESTIMATE (INPUT)'!N63</f>
        <v/>
      </c>
      <c r="P63" s="1">
        <f>'ESTIMATE (INPUT)'!O63</f>
        <v/>
      </c>
      <c r="Q63" s="1">
        <f>'ESTIMATE (INPUT)'!P63</f>
        <v/>
      </c>
      <c r="R63" s="1">
        <f>'ESTIMATE (INPUT)'!Q63</f>
        <v/>
      </c>
      <c r="S63" s="1">
        <f>'ESTIMATE (INPUT)'!R63</f>
        <v/>
      </c>
      <c r="T63" s="1">
        <f>'ESTIMATE (INPUT)'!S63</f>
        <v/>
      </c>
      <c r="U63" s="12">
        <f>SUM(O63:T63)</f>
        <v/>
      </c>
    </row>
    <row r="64" hidden="1" ht="12" customHeight="1" s="195">
      <c r="A64" s="124">
        <f>'ESTIMATE (INPUT)'!A64</f>
        <v/>
      </c>
      <c r="B64" s="194">
        <f>'ESTIMATE (INPUT)'!B64</f>
        <v/>
      </c>
      <c r="D64" s="1">
        <f>'ESTIMATE (INPUT)'!D64</f>
        <v/>
      </c>
      <c r="E64" s="2">
        <f>'ESTIMATE (INPUT)'!E64</f>
        <v/>
      </c>
      <c r="F64" s="2" t="n"/>
      <c r="G64" s="91" t="n"/>
      <c r="H64" s="91" t="n"/>
      <c r="I64" s="91" t="n"/>
      <c r="J64" s="100" t="n"/>
      <c r="K64" s="100" t="n"/>
      <c r="L64" s="100" t="n"/>
      <c r="M64" s="100" t="n"/>
      <c r="N64" s="1">
        <f>'ESTIMATE (INPUT)'!M64</f>
        <v/>
      </c>
      <c r="O64" s="1">
        <f>'ESTIMATE (INPUT)'!N64</f>
        <v/>
      </c>
      <c r="P64" s="1">
        <f>'ESTIMATE (INPUT)'!O64</f>
        <v/>
      </c>
      <c r="Q64" s="1">
        <f>'ESTIMATE (INPUT)'!P64</f>
        <v/>
      </c>
      <c r="R64" s="1">
        <f>'ESTIMATE (INPUT)'!Q64</f>
        <v/>
      </c>
      <c r="S64" s="1">
        <f>'ESTIMATE (INPUT)'!R64</f>
        <v/>
      </c>
      <c r="T64" s="1">
        <f>'ESTIMATE (INPUT)'!S64</f>
        <v/>
      </c>
      <c r="U64" s="12">
        <f>SUM(O64:T64)</f>
        <v/>
      </c>
    </row>
    <row r="65" hidden="1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91" t="n"/>
      <c r="N65" s="1" t="n"/>
      <c r="O65" s="1" t="n"/>
      <c r="P65" s="7" t="n"/>
      <c r="Q65" s="1" t="n"/>
      <c r="R65" s="1" t="n"/>
      <c r="S65" s="7" t="n"/>
      <c r="T65" s="7" t="n"/>
      <c r="U65" s="12" t="n"/>
    </row>
    <row r="66" ht="12" customHeight="1" s="195">
      <c r="A66" s="125" t="n">
        <v>2000</v>
      </c>
      <c r="B66" s="93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4" t="n"/>
      <c r="N66" s="93">
        <f>SUM(N55:N65)</f>
        <v/>
      </c>
      <c r="O66" s="93">
        <f>SUM(O55:O65)</f>
        <v/>
      </c>
      <c r="P66" s="95">
        <f>SUM(P55:P65)</f>
        <v/>
      </c>
      <c r="Q66" s="93">
        <f>SUM(Q55:Q65)</f>
        <v/>
      </c>
      <c r="R66" s="93">
        <f>SUM(R55:R65)</f>
        <v/>
      </c>
      <c r="S66" s="95">
        <f>SUM(S55:S65)</f>
        <v/>
      </c>
      <c r="T66" s="95">
        <f>SUM(T55:T65)</f>
        <v/>
      </c>
      <c r="U66" s="98">
        <f>SUM(U55:U65)</f>
        <v/>
      </c>
    </row>
    <row r="67" hidden="1" ht="10" customHeight="1" s="195">
      <c r="A67" s="154" t="n"/>
      <c r="B67" s="1" t="n"/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58">
        <f>U79</f>
        <v/>
      </c>
      <c r="N67" s="1" t="n"/>
      <c r="O67" s="1" t="n"/>
      <c r="P67" s="7" t="n"/>
      <c r="Q67" s="1" t="n"/>
      <c r="R67" s="1" t="n"/>
      <c r="S67" s="1" t="n"/>
      <c r="T67" s="7" t="n"/>
      <c r="U67" s="155" t="n"/>
    </row>
    <row r="68" hidden="1" ht="12" customHeight="1" s="195">
      <c r="A68" s="124">
        <f>'ESTIMATE (INPUT)'!A68</f>
        <v/>
      </c>
      <c r="B68" s="194">
        <f>'ESTIMATE (INPUT)'!B68</f>
        <v/>
      </c>
      <c r="D68" s="1">
        <f>'ESTIMATE (INPUT)'!D68</f>
        <v/>
      </c>
      <c r="E68" s="2">
        <f>'ESTIMATE (INPUT)'!E68</f>
        <v/>
      </c>
      <c r="F68" s="2" t="n"/>
      <c r="G68" s="91" t="n"/>
      <c r="H68" s="91" t="n"/>
      <c r="I68" s="91" t="n"/>
      <c r="J68" s="100" t="n"/>
      <c r="K68" s="100" t="n"/>
      <c r="L68" s="100" t="n"/>
      <c r="M68" s="100" t="n"/>
      <c r="N68" s="1">
        <f>'ESTIMATE (INPUT)'!M68</f>
        <v/>
      </c>
      <c r="O68" s="1">
        <f>'ESTIMATE (INPUT)'!N68</f>
        <v/>
      </c>
      <c r="P68" s="1">
        <f>'ESTIMATE (INPUT)'!O68</f>
        <v/>
      </c>
      <c r="Q68" s="1">
        <f>'ESTIMATE (INPUT)'!P68</f>
        <v/>
      </c>
      <c r="R68" s="1">
        <f>'ESTIMATE (INPUT)'!Q68</f>
        <v/>
      </c>
      <c r="S68" s="1">
        <f>'ESTIMATE (INPUT)'!R68</f>
        <v/>
      </c>
      <c r="T68" s="1">
        <f>'ESTIMATE (INPUT)'!S68</f>
        <v/>
      </c>
      <c r="U68" s="12">
        <f>SUM(O68:T68)</f>
        <v/>
      </c>
    </row>
    <row r="69" hidden="1" ht="12" customHeight="1" s="195">
      <c r="A69" s="124">
        <f>'ESTIMATE (INPUT)'!A69</f>
        <v/>
      </c>
      <c r="B69" s="194">
        <f>'ESTIMATE (INPUT)'!B69</f>
        <v/>
      </c>
      <c r="D69" s="1">
        <f>'ESTIMATE (INPUT)'!D69</f>
        <v/>
      </c>
      <c r="E69" s="2">
        <f>'ESTIMATE (INPUT)'!E69</f>
        <v/>
      </c>
      <c r="F69" s="2" t="n"/>
      <c r="G69" s="91" t="n"/>
      <c r="H69" s="91" t="n"/>
      <c r="I69" s="91" t="n"/>
      <c r="J69" s="100" t="n"/>
      <c r="K69" s="100" t="n"/>
      <c r="L69" s="100" t="n"/>
      <c r="M69" s="100" t="n"/>
      <c r="N69" s="1">
        <f>'ESTIMATE (INPUT)'!M69</f>
        <v/>
      </c>
      <c r="O69" s="1">
        <f>'ESTIMATE (INPUT)'!N69</f>
        <v/>
      </c>
      <c r="P69" s="1">
        <f>'ESTIMATE (INPUT)'!O69</f>
        <v/>
      </c>
      <c r="Q69" s="1">
        <f>'ESTIMATE (INPUT)'!P69</f>
        <v/>
      </c>
      <c r="R69" s="1">
        <f>'ESTIMATE (INPUT)'!Q69</f>
        <v/>
      </c>
      <c r="S69" s="1">
        <f>'ESTIMATE (INPUT)'!R69</f>
        <v/>
      </c>
      <c r="T69" s="1">
        <f>'ESTIMATE (INPUT)'!S69</f>
        <v/>
      </c>
      <c r="U69" s="12">
        <f>SUM(O69:T69)</f>
        <v/>
      </c>
    </row>
    <row r="70" hidden="1" ht="12" customHeight="1" s="195">
      <c r="A70" s="124">
        <f>'ESTIMATE (INPUT)'!A70</f>
        <v/>
      </c>
      <c r="B70" s="194">
        <f>'ESTIMATE (INPUT)'!B70</f>
        <v/>
      </c>
      <c r="D70" s="1">
        <f>'ESTIMATE (INPUT)'!D70</f>
        <v/>
      </c>
      <c r="E70" s="2">
        <f>'ESTIMATE (INPUT)'!E70</f>
        <v/>
      </c>
      <c r="F70" s="2" t="n"/>
      <c r="G70" s="91" t="n"/>
      <c r="H70" s="91" t="n"/>
      <c r="I70" s="91" t="n"/>
      <c r="J70" s="100" t="n"/>
      <c r="K70" s="100" t="n"/>
      <c r="L70" s="100" t="n"/>
      <c r="M70" s="100" t="n"/>
      <c r="N70" s="1">
        <f>'ESTIMATE (INPUT)'!M70</f>
        <v/>
      </c>
      <c r="O70" s="1">
        <f>'ESTIMATE (INPUT)'!N70</f>
        <v/>
      </c>
      <c r="P70" s="1">
        <f>'ESTIMATE (INPUT)'!O70</f>
        <v/>
      </c>
      <c r="Q70" s="1">
        <f>'ESTIMATE (INPUT)'!P70</f>
        <v/>
      </c>
      <c r="R70" s="1">
        <f>'ESTIMATE (INPUT)'!Q70</f>
        <v/>
      </c>
      <c r="S70" s="1">
        <f>'ESTIMATE (INPUT)'!R70</f>
        <v/>
      </c>
      <c r="T70" s="1">
        <f>'ESTIMATE (INPUT)'!S70</f>
        <v/>
      </c>
      <c r="U70" s="12">
        <f>SUM(O70:T70)</f>
        <v/>
      </c>
    </row>
    <row r="71" hidden="1" ht="12" customHeight="1" s="195">
      <c r="A71" s="124">
        <f>'ESTIMATE (INPUT)'!A71</f>
        <v/>
      </c>
      <c r="B71" s="194">
        <f>'ESTIMATE (INPUT)'!B71</f>
        <v/>
      </c>
      <c r="D71" s="1">
        <f>'ESTIMATE (INPUT)'!D71</f>
        <v/>
      </c>
      <c r="E71" s="2">
        <f>'ESTIMATE (INPUT)'!E71</f>
        <v/>
      </c>
      <c r="F71" s="2" t="n"/>
      <c r="G71" s="91" t="n"/>
      <c r="H71" s="91" t="n"/>
      <c r="I71" s="91" t="n"/>
      <c r="J71" s="100" t="n"/>
      <c r="K71" s="100" t="n"/>
      <c r="L71" s="100" t="n"/>
      <c r="M71" s="100" t="n"/>
      <c r="N71" s="1">
        <f>'ESTIMATE (INPUT)'!M71</f>
        <v/>
      </c>
      <c r="O71" s="1">
        <f>'ESTIMATE (INPUT)'!N71</f>
        <v/>
      </c>
      <c r="P71" s="1">
        <f>'ESTIMATE (INPUT)'!O71</f>
        <v/>
      </c>
      <c r="Q71" s="1">
        <f>'ESTIMATE (INPUT)'!P71</f>
        <v/>
      </c>
      <c r="R71" s="1">
        <f>'ESTIMATE (INPUT)'!Q71</f>
        <v/>
      </c>
      <c r="S71" s="1">
        <f>'ESTIMATE (INPUT)'!R71</f>
        <v/>
      </c>
      <c r="T71" s="1">
        <f>'ESTIMATE (INPUT)'!S71</f>
        <v/>
      </c>
      <c r="U71" s="12">
        <f>SUM(O71:T71)</f>
        <v/>
      </c>
    </row>
    <row r="72" hidden="1" ht="12" customHeight="1" s="195">
      <c r="A72" s="124">
        <f>'ESTIMATE (INPUT)'!A72</f>
        <v/>
      </c>
      <c r="B72" s="194">
        <f>'ESTIMATE (INPUT)'!B72</f>
        <v/>
      </c>
      <c r="D72" s="1">
        <f>'ESTIMATE (INPUT)'!D72</f>
        <v/>
      </c>
      <c r="E72" s="2">
        <f>'ESTIMATE (INPUT)'!E72</f>
        <v/>
      </c>
      <c r="F72" s="2" t="n"/>
      <c r="G72" s="91" t="n"/>
      <c r="H72" s="91" t="n"/>
      <c r="I72" s="91" t="n"/>
      <c r="J72" s="100" t="n"/>
      <c r="K72" s="100" t="n"/>
      <c r="L72" s="100" t="n"/>
      <c r="M72" s="100" t="n"/>
      <c r="N72" s="1">
        <f>'ESTIMATE (INPUT)'!M72</f>
        <v/>
      </c>
      <c r="O72" s="1">
        <f>'ESTIMATE (INPUT)'!N72</f>
        <v/>
      </c>
      <c r="P72" s="1">
        <f>'ESTIMATE (INPUT)'!O72</f>
        <v/>
      </c>
      <c r="Q72" s="1">
        <f>'ESTIMATE (INPUT)'!P72</f>
        <v/>
      </c>
      <c r="R72" s="1">
        <f>'ESTIMATE (INPUT)'!Q72</f>
        <v/>
      </c>
      <c r="S72" s="1">
        <f>'ESTIMATE (INPUT)'!R72</f>
        <v/>
      </c>
      <c r="T72" s="1">
        <f>'ESTIMATE (INPUT)'!S72</f>
        <v/>
      </c>
      <c r="U72" s="12">
        <f>SUM(O72:T72)</f>
        <v/>
      </c>
    </row>
    <row r="73" hidden="1" ht="12" customHeight="1" s="195">
      <c r="A73" s="124">
        <f>'ESTIMATE (INPUT)'!A73</f>
        <v/>
      </c>
      <c r="B73" s="194">
        <f>'ESTIMATE (INPUT)'!B73</f>
        <v/>
      </c>
      <c r="D73" s="1">
        <f>'ESTIMATE (INPUT)'!D73</f>
        <v/>
      </c>
      <c r="E73" s="2">
        <f>'ESTIMATE (INPUT)'!E73</f>
        <v/>
      </c>
      <c r="F73" s="2" t="n"/>
      <c r="G73" s="91" t="n"/>
      <c r="H73" s="91" t="n"/>
      <c r="I73" s="91" t="n"/>
      <c r="J73" s="100" t="n"/>
      <c r="K73" s="100" t="n"/>
      <c r="L73" s="100" t="n"/>
      <c r="M73" s="100" t="n"/>
      <c r="N73" s="1">
        <f>'ESTIMATE (INPUT)'!M73</f>
        <v/>
      </c>
      <c r="O73" s="1">
        <f>'ESTIMATE (INPUT)'!N73</f>
        <v/>
      </c>
      <c r="P73" s="1">
        <f>'ESTIMATE (INPUT)'!O73</f>
        <v/>
      </c>
      <c r="Q73" s="1">
        <f>'ESTIMATE (INPUT)'!P73</f>
        <v/>
      </c>
      <c r="R73" s="1">
        <f>'ESTIMATE (INPUT)'!Q73</f>
        <v/>
      </c>
      <c r="S73" s="1">
        <f>'ESTIMATE (INPUT)'!R73</f>
        <v/>
      </c>
      <c r="T73" s="1">
        <f>'ESTIMATE (INPUT)'!S73</f>
        <v/>
      </c>
      <c r="U73" s="12">
        <f>SUM(O73:T73)</f>
        <v/>
      </c>
    </row>
    <row r="74" hidden="1" ht="12" customHeight="1" s="195">
      <c r="A74" s="124">
        <f>'ESTIMATE (INPUT)'!A74</f>
        <v/>
      </c>
      <c r="B74" s="194">
        <f>'ESTIMATE (INPUT)'!B74</f>
        <v/>
      </c>
      <c r="D74" s="1">
        <f>'ESTIMATE (INPUT)'!D74</f>
        <v/>
      </c>
      <c r="E74" s="2">
        <f>'ESTIMATE (INPUT)'!E74</f>
        <v/>
      </c>
      <c r="F74" s="2" t="n"/>
      <c r="G74" s="91" t="n"/>
      <c r="H74" s="91" t="n"/>
      <c r="I74" s="91" t="n"/>
      <c r="J74" s="100" t="n"/>
      <c r="K74" s="100" t="n"/>
      <c r="L74" s="100" t="n"/>
      <c r="M74" s="100" t="n"/>
      <c r="N74" s="1">
        <f>'ESTIMATE (INPUT)'!M74</f>
        <v/>
      </c>
      <c r="O74" s="1">
        <f>'ESTIMATE (INPUT)'!N74</f>
        <v/>
      </c>
      <c r="P74" s="1">
        <f>'ESTIMATE (INPUT)'!O74</f>
        <v/>
      </c>
      <c r="Q74" s="1">
        <f>'ESTIMATE (INPUT)'!P74</f>
        <v/>
      </c>
      <c r="R74" s="1">
        <f>'ESTIMATE (INPUT)'!Q74</f>
        <v/>
      </c>
      <c r="S74" s="1">
        <f>'ESTIMATE (INPUT)'!R74</f>
        <v/>
      </c>
      <c r="T74" s="1">
        <f>'ESTIMATE (INPUT)'!S74</f>
        <v/>
      </c>
      <c r="U74" s="12">
        <f>SUM(O74:T74)</f>
        <v/>
      </c>
    </row>
    <row r="75" hidden="1" ht="12" customHeight="1" s="195">
      <c r="A75" s="124">
        <f>'ESTIMATE (INPUT)'!A75</f>
        <v/>
      </c>
      <c r="B75" s="194">
        <f>'ESTIMATE (INPUT)'!B75</f>
        <v/>
      </c>
      <c r="D75" s="1">
        <f>'ESTIMATE (INPUT)'!D75</f>
        <v/>
      </c>
      <c r="E75" s="2">
        <f>'ESTIMATE (INPUT)'!E75</f>
        <v/>
      </c>
      <c r="F75" s="2" t="n"/>
      <c r="G75" s="91" t="n"/>
      <c r="H75" s="91" t="n"/>
      <c r="I75" s="91" t="n"/>
      <c r="J75" s="100" t="n"/>
      <c r="K75" s="100" t="n"/>
      <c r="L75" s="100" t="n"/>
      <c r="M75" s="100" t="n"/>
      <c r="N75" s="1">
        <f>'ESTIMATE (INPUT)'!M75</f>
        <v/>
      </c>
      <c r="O75" s="1">
        <f>'ESTIMATE (INPUT)'!N75</f>
        <v/>
      </c>
      <c r="P75" s="1">
        <f>'ESTIMATE (INPUT)'!O75</f>
        <v/>
      </c>
      <c r="Q75" s="1">
        <f>'ESTIMATE (INPUT)'!P75</f>
        <v/>
      </c>
      <c r="R75" s="1">
        <f>'ESTIMATE (INPUT)'!Q75</f>
        <v/>
      </c>
      <c r="S75" s="1">
        <f>'ESTIMATE (INPUT)'!R75</f>
        <v/>
      </c>
      <c r="T75" s="1">
        <f>'ESTIMATE (INPUT)'!S75</f>
        <v/>
      </c>
      <c r="U75" s="12">
        <f>SUM(O75:T75)</f>
        <v/>
      </c>
    </row>
    <row r="76" hidden="1" ht="12" customHeight="1" s="195">
      <c r="A76" s="124">
        <f>'ESTIMATE (INPUT)'!A76</f>
        <v/>
      </c>
      <c r="B76" s="194">
        <f>'ESTIMATE (INPUT)'!B76</f>
        <v/>
      </c>
      <c r="D76" s="1">
        <f>'ESTIMATE (INPUT)'!D76</f>
        <v/>
      </c>
      <c r="E76" s="2">
        <f>'ESTIMATE (INPUT)'!E76</f>
        <v/>
      </c>
      <c r="F76" s="2" t="n"/>
      <c r="G76" s="91" t="n"/>
      <c r="H76" s="91" t="n"/>
      <c r="I76" s="91" t="n"/>
      <c r="J76" s="100" t="n"/>
      <c r="K76" s="100" t="n"/>
      <c r="L76" s="100" t="n"/>
      <c r="M76" s="100" t="n"/>
      <c r="N76" s="1">
        <f>'ESTIMATE (INPUT)'!M76</f>
        <v/>
      </c>
      <c r="O76" s="1">
        <f>'ESTIMATE (INPUT)'!N76</f>
        <v/>
      </c>
      <c r="P76" s="1">
        <f>'ESTIMATE (INPUT)'!O76</f>
        <v/>
      </c>
      <c r="Q76" s="1">
        <f>'ESTIMATE (INPUT)'!P76</f>
        <v/>
      </c>
      <c r="R76" s="1">
        <f>'ESTIMATE (INPUT)'!Q76</f>
        <v/>
      </c>
      <c r="S76" s="1">
        <f>'ESTIMATE (INPUT)'!R76</f>
        <v/>
      </c>
      <c r="T76" s="1">
        <f>'ESTIMATE (INPUT)'!S76</f>
        <v/>
      </c>
      <c r="U76" s="12">
        <f>SUM(O76:T76)</f>
        <v/>
      </c>
    </row>
    <row r="77" hidden="1" ht="12" customHeight="1" s="195">
      <c r="A77" s="124">
        <f>'ESTIMATE (INPUT)'!A77</f>
        <v/>
      </c>
      <c r="B77" s="194">
        <f>'ESTIMATE (INPUT)'!B77</f>
        <v/>
      </c>
      <c r="D77" s="1">
        <f>'ESTIMATE (INPUT)'!D77</f>
        <v/>
      </c>
      <c r="E77" s="2">
        <f>'ESTIMATE (INPUT)'!E77</f>
        <v/>
      </c>
      <c r="F77" s="2" t="n"/>
      <c r="G77" s="91" t="n"/>
      <c r="H77" s="91" t="n"/>
      <c r="I77" s="91" t="n"/>
      <c r="J77" s="100" t="n"/>
      <c r="K77" s="100" t="n"/>
      <c r="L77" s="100" t="n"/>
      <c r="M77" s="100" t="n"/>
      <c r="N77" s="1">
        <f>'ESTIMATE (INPUT)'!M77</f>
        <v/>
      </c>
      <c r="O77" s="1">
        <f>'ESTIMATE (INPUT)'!N77</f>
        <v/>
      </c>
      <c r="P77" s="1">
        <f>'ESTIMATE (INPUT)'!O77</f>
        <v/>
      </c>
      <c r="Q77" s="1">
        <f>'ESTIMATE (INPUT)'!P77</f>
        <v/>
      </c>
      <c r="R77" s="1">
        <f>'ESTIMATE (INPUT)'!Q77</f>
        <v/>
      </c>
      <c r="S77" s="1">
        <f>'ESTIMATE (INPUT)'!R77</f>
        <v/>
      </c>
      <c r="T77" s="1">
        <f>'ESTIMATE (INPUT)'!S77</f>
        <v/>
      </c>
      <c r="U77" s="12">
        <f>SUM(O77:T77)</f>
        <v/>
      </c>
    </row>
    <row r="78" hidden="1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91" t="n"/>
      <c r="N78" s="1" t="n"/>
      <c r="O78" s="1" t="n"/>
      <c r="P78" s="7" t="n"/>
      <c r="Q78" s="1" t="n"/>
      <c r="R78" s="1" t="n"/>
      <c r="S78" s="7" t="n"/>
      <c r="T78" s="7" t="n"/>
      <c r="U78" s="12" t="n"/>
    </row>
    <row r="79" hidden="1" ht="12" customHeight="1" s="195">
      <c r="A79" s="125" t="n">
        <v>3000</v>
      </c>
      <c r="B79" s="93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4" t="n"/>
      <c r="N79" s="93">
        <f>SUM(N67:N78)</f>
        <v/>
      </c>
      <c r="O79" s="93">
        <f>SUM(O67:O78)</f>
        <v/>
      </c>
      <c r="P79" s="95">
        <f>SUM(P67:P78)</f>
        <v/>
      </c>
      <c r="Q79" s="93">
        <f>SUM(Q67:Q78)</f>
        <v/>
      </c>
      <c r="R79" s="93">
        <f>SUM(R67:R78)</f>
        <v/>
      </c>
      <c r="S79" s="95">
        <f>SUM(S67:S78)</f>
        <v/>
      </c>
      <c r="T79" s="95">
        <f>SUM(T67:T78)</f>
        <v/>
      </c>
      <c r="U79" s="98">
        <f>SUM(U67:U78)</f>
        <v/>
      </c>
    </row>
    <row r="80" hidden="1" ht="10" customHeight="1" s="195">
      <c r="A80" s="154" t="n"/>
      <c r="B80" s="1" t="n"/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58">
        <f>U89</f>
        <v/>
      </c>
      <c r="N80" s="1" t="n"/>
      <c r="O80" s="1" t="n"/>
      <c r="P80" s="7" t="n"/>
      <c r="Q80" s="1" t="n"/>
      <c r="R80" s="1" t="n"/>
      <c r="S80" s="1" t="n"/>
      <c r="T80" s="7" t="n"/>
      <c r="U80" s="155" t="n"/>
    </row>
    <row r="81" hidden="1" ht="12" customHeight="1" s="195">
      <c r="A81" s="124">
        <f>'ESTIMATE (INPUT)'!A81</f>
        <v/>
      </c>
      <c r="B81" s="194">
        <f>'ESTIMATE (INPUT)'!B81</f>
        <v/>
      </c>
      <c r="D81" s="1">
        <f>'ESTIMATE (INPUT)'!D81</f>
        <v/>
      </c>
      <c r="E81" s="2">
        <f>'ESTIMATE (INPUT)'!E81</f>
        <v/>
      </c>
      <c r="F81" s="2" t="n"/>
      <c r="G81" s="91" t="n"/>
      <c r="H81" s="91" t="n"/>
      <c r="I81" s="91" t="n"/>
      <c r="J81" s="100" t="n"/>
      <c r="K81" s="100" t="n"/>
      <c r="L81" s="100" t="n"/>
      <c r="M81" s="100" t="n"/>
      <c r="N81" s="1">
        <f>'ESTIMATE (INPUT)'!M81</f>
        <v/>
      </c>
      <c r="O81" s="1">
        <f>'ESTIMATE (INPUT)'!N81</f>
        <v/>
      </c>
      <c r="P81" s="1">
        <f>'ESTIMATE (INPUT)'!O81</f>
        <v/>
      </c>
      <c r="Q81" s="1">
        <f>'ESTIMATE (INPUT)'!P81</f>
        <v/>
      </c>
      <c r="R81" s="1">
        <f>'ESTIMATE (INPUT)'!Q81</f>
        <v/>
      </c>
      <c r="S81" s="1">
        <f>'ESTIMATE (INPUT)'!R81</f>
        <v/>
      </c>
      <c r="T81" s="1">
        <f>'ESTIMATE (INPUT)'!S81</f>
        <v/>
      </c>
      <c r="U81" s="12">
        <f>SUM(O81:T81)</f>
        <v/>
      </c>
    </row>
    <row r="82" hidden="1" ht="12" customHeight="1" s="195">
      <c r="A82" s="124">
        <f>'ESTIMATE (INPUT)'!A82</f>
        <v/>
      </c>
      <c r="B82" s="194">
        <f>'ESTIMATE (INPUT)'!B82</f>
        <v/>
      </c>
      <c r="D82" s="1">
        <f>'ESTIMATE (INPUT)'!D82</f>
        <v/>
      </c>
      <c r="E82" s="2">
        <f>'ESTIMATE (INPUT)'!E82</f>
        <v/>
      </c>
      <c r="F82" s="2" t="n"/>
      <c r="G82" s="91" t="n"/>
      <c r="H82" s="91" t="n"/>
      <c r="I82" s="91" t="n"/>
      <c r="J82" s="100" t="n"/>
      <c r="K82" s="100" t="n"/>
      <c r="L82" s="100" t="n"/>
      <c r="M82" s="100" t="n"/>
      <c r="N82" s="1">
        <f>'ESTIMATE (INPUT)'!M82</f>
        <v/>
      </c>
      <c r="O82" s="1">
        <f>'ESTIMATE (INPUT)'!N82</f>
        <v/>
      </c>
      <c r="P82" s="1">
        <f>'ESTIMATE (INPUT)'!O82</f>
        <v/>
      </c>
      <c r="Q82" s="1">
        <f>'ESTIMATE (INPUT)'!P82</f>
        <v/>
      </c>
      <c r="R82" s="1">
        <f>'ESTIMATE (INPUT)'!Q82</f>
        <v/>
      </c>
      <c r="S82" s="1">
        <f>'ESTIMATE (INPUT)'!R82</f>
        <v/>
      </c>
      <c r="T82" s="1">
        <f>'ESTIMATE (INPUT)'!S82</f>
        <v/>
      </c>
      <c r="U82" s="12">
        <f>SUM(O82:T82)</f>
        <v/>
      </c>
    </row>
    <row r="83" hidden="1" ht="12" customHeight="1" s="195">
      <c r="A83" s="124">
        <f>'ESTIMATE (INPUT)'!A83</f>
        <v/>
      </c>
      <c r="B83" s="194">
        <f>'ESTIMATE (INPUT)'!B83</f>
        <v/>
      </c>
      <c r="D83" s="1">
        <f>'ESTIMATE (INPUT)'!D83</f>
        <v/>
      </c>
      <c r="E83" s="2">
        <f>'ESTIMATE (INPUT)'!E83</f>
        <v/>
      </c>
      <c r="F83" s="2" t="n"/>
      <c r="G83" s="91" t="n"/>
      <c r="H83" s="91" t="n"/>
      <c r="I83" s="91" t="n"/>
      <c r="J83" s="100" t="n"/>
      <c r="K83" s="100" t="n"/>
      <c r="L83" s="100" t="n"/>
      <c r="M83" s="100" t="n"/>
      <c r="N83" s="1">
        <f>'ESTIMATE (INPUT)'!M83</f>
        <v/>
      </c>
      <c r="O83" s="1">
        <f>'ESTIMATE (INPUT)'!N83</f>
        <v/>
      </c>
      <c r="P83" s="1">
        <f>'ESTIMATE (INPUT)'!O83</f>
        <v/>
      </c>
      <c r="Q83" s="1">
        <f>'ESTIMATE (INPUT)'!P83</f>
        <v/>
      </c>
      <c r="R83" s="1">
        <f>'ESTIMATE (INPUT)'!Q83</f>
        <v/>
      </c>
      <c r="S83" s="1">
        <f>'ESTIMATE (INPUT)'!R83</f>
        <v/>
      </c>
      <c r="T83" s="1">
        <f>'ESTIMATE (INPUT)'!S83</f>
        <v/>
      </c>
      <c r="U83" s="12">
        <f>SUM(O83:T83)</f>
        <v/>
      </c>
    </row>
    <row r="84" hidden="1" ht="12" customHeight="1" s="195">
      <c r="A84" s="124">
        <f>'ESTIMATE (INPUT)'!A84</f>
        <v/>
      </c>
      <c r="B84" s="194">
        <f>'ESTIMATE (INPUT)'!B84</f>
        <v/>
      </c>
      <c r="D84" s="1">
        <f>'ESTIMATE (INPUT)'!D84</f>
        <v/>
      </c>
      <c r="E84" s="2">
        <f>'ESTIMATE (INPUT)'!E84</f>
        <v/>
      </c>
      <c r="F84" s="2" t="n"/>
      <c r="G84" s="91" t="n"/>
      <c r="H84" s="91" t="n"/>
      <c r="I84" s="91" t="n"/>
      <c r="J84" s="100" t="n"/>
      <c r="K84" s="100" t="n"/>
      <c r="L84" s="100" t="n"/>
      <c r="M84" s="100" t="n"/>
      <c r="N84" s="1">
        <f>'ESTIMATE (INPUT)'!M84</f>
        <v/>
      </c>
      <c r="O84" s="1">
        <f>'ESTIMATE (INPUT)'!N84</f>
        <v/>
      </c>
      <c r="P84" s="1">
        <f>'ESTIMATE (INPUT)'!O84</f>
        <v/>
      </c>
      <c r="Q84" s="1">
        <f>'ESTIMATE (INPUT)'!P84</f>
        <v/>
      </c>
      <c r="R84" s="1">
        <f>'ESTIMATE (INPUT)'!Q84</f>
        <v/>
      </c>
      <c r="S84" s="1">
        <f>'ESTIMATE (INPUT)'!R84</f>
        <v/>
      </c>
      <c r="T84" s="1">
        <f>'ESTIMATE (INPUT)'!S84</f>
        <v/>
      </c>
      <c r="U84" s="12">
        <f>SUM(O84:T84)</f>
        <v/>
      </c>
    </row>
    <row r="85" hidden="1" ht="12" customHeight="1" s="195">
      <c r="A85" s="124">
        <f>'ESTIMATE (INPUT)'!A85</f>
        <v/>
      </c>
      <c r="B85" s="194">
        <f>'ESTIMATE (INPUT)'!B85</f>
        <v/>
      </c>
      <c r="D85" s="1">
        <f>'ESTIMATE (INPUT)'!D85</f>
        <v/>
      </c>
      <c r="E85" s="2">
        <f>'ESTIMATE (INPUT)'!E85</f>
        <v/>
      </c>
      <c r="F85" s="2" t="n"/>
      <c r="G85" s="91" t="n"/>
      <c r="H85" s="91" t="n"/>
      <c r="I85" s="91" t="n"/>
      <c r="J85" s="100" t="n"/>
      <c r="K85" s="100" t="n"/>
      <c r="L85" s="100" t="n"/>
      <c r="M85" s="100" t="n"/>
      <c r="N85" s="1">
        <f>'ESTIMATE (INPUT)'!M85</f>
        <v/>
      </c>
      <c r="O85" s="1">
        <f>'ESTIMATE (INPUT)'!N85</f>
        <v/>
      </c>
      <c r="P85" s="1">
        <f>'ESTIMATE (INPUT)'!O85</f>
        <v/>
      </c>
      <c r="Q85" s="1">
        <f>'ESTIMATE (INPUT)'!P85</f>
        <v/>
      </c>
      <c r="R85" s="1">
        <f>'ESTIMATE (INPUT)'!Q85</f>
        <v/>
      </c>
      <c r="S85" s="1">
        <f>'ESTIMATE (INPUT)'!R85</f>
        <v/>
      </c>
      <c r="T85" s="1">
        <f>'ESTIMATE (INPUT)'!S85</f>
        <v/>
      </c>
      <c r="U85" s="12">
        <f>SUM(O85:T85)</f>
        <v/>
      </c>
    </row>
    <row r="86" hidden="1" ht="12" customHeight="1" s="195">
      <c r="A86" s="124">
        <f>'ESTIMATE (INPUT)'!A86</f>
        <v/>
      </c>
      <c r="B86" s="194">
        <f>'ESTIMATE (INPUT)'!B86</f>
        <v/>
      </c>
      <c r="D86" s="1">
        <f>'ESTIMATE (INPUT)'!D86</f>
        <v/>
      </c>
      <c r="E86" s="2">
        <f>'ESTIMATE (INPUT)'!E86</f>
        <v/>
      </c>
      <c r="F86" s="2" t="n"/>
      <c r="G86" s="91" t="n"/>
      <c r="H86" s="91" t="n"/>
      <c r="I86" s="91" t="n"/>
      <c r="J86" s="100" t="n"/>
      <c r="K86" s="100" t="n"/>
      <c r="L86" s="100" t="n"/>
      <c r="M86" s="100" t="n"/>
      <c r="N86" s="1">
        <f>'ESTIMATE (INPUT)'!M86</f>
        <v/>
      </c>
      <c r="O86" s="1">
        <f>'ESTIMATE (INPUT)'!N86</f>
        <v/>
      </c>
      <c r="P86" s="1">
        <f>'ESTIMATE (INPUT)'!O86</f>
        <v/>
      </c>
      <c r="Q86" s="1">
        <f>'ESTIMATE (INPUT)'!P86</f>
        <v/>
      </c>
      <c r="R86" s="1">
        <f>'ESTIMATE (INPUT)'!Q86</f>
        <v/>
      </c>
      <c r="S86" s="1">
        <f>'ESTIMATE (INPUT)'!R86</f>
        <v/>
      </c>
      <c r="T86" s="1">
        <f>'ESTIMATE (INPUT)'!S86</f>
        <v/>
      </c>
      <c r="U86" s="12">
        <f>SUM(O86:T86)</f>
        <v/>
      </c>
    </row>
    <row r="87" hidden="1" ht="12" customHeight="1" s="195">
      <c r="A87" s="124">
        <f>'ESTIMATE (INPUT)'!A87</f>
        <v/>
      </c>
      <c r="B87" s="194">
        <f>'ESTIMATE (INPUT)'!B87</f>
        <v/>
      </c>
      <c r="D87" s="1">
        <f>'ESTIMATE (INPUT)'!D87</f>
        <v/>
      </c>
      <c r="E87" s="2">
        <f>'ESTIMATE (INPUT)'!E87</f>
        <v/>
      </c>
      <c r="F87" s="2" t="n"/>
      <c r="G87" s="91" t="n"/>
      <c r="H87" s="91" t="n"/>
      <c r="I87" s="91" t="n"/>
      <c r="J87" s="100" t="n"/>
      <c r="K87" s="100" t="n"/>
      <c r="L87" s="100" t="n"/>
      <c r="M87" s="100" t="n"/>
      <c r="N87" s="1">
        <f>'ESTIMATE (INPUT)'!M87</f>
        <v/>
      </c>
      <c r="O87" s="1">
        <f>'ESTIMATE (INPUT)'!N87</f>
        <v/>
      </c>
      <c r="P87" s="1">
        <f>'ESTIMATE (INPUT)'!O87</f>
        <v/>
      </c>
      <c r="Q87" s="1">
        <f>'ESTIMATE (INPUT)'!P87</f>
        <v/>
      </c>
      <c r="R87" s="1">
        <f>'ESTIMATE (INPUT)'!Q87</f>
        <v/>
      </c>
      <c r="S87" s="1">
        <f>'ESTIMATE (INPUT)'!R87</f>
        <v/>
      </c>
      <c r="T87" s="1">
        <f>'ESTIMATE (INPUT)'!S87</f>
        <v/>
      </c>
      <c r="U87" s="12">
        <f>SUM(O87:T87)</f>
        <v/>
      </c>
    </row>
    <row r="88" hidden="1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91" t="n"/>
      <c r="N88" s="1" t="n"/>
      <c r="O88" s="1" t="n"/>
      <c r="P88" s="7" t="n"/>
      <c r="Q88" s="1" t="n"/>
      <c r="R88" s="1" t="n"/>
      <c r="S88" s="7" t="n"/>
      <c r="T88" s="7" t="n"/>
      <c r="U88" s="12" t="n"/>
    </row>
    <row r="89" hidden="1" ht="12" customHeight="1" s="195">
      <c r="A89" s="125" t="n">
        <v>5000</v>
      </c>
      <c r="B89" s="93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4" t="n"/>
      <c r="N89" s="93">
        <f>SUM(N80:N88)</f>
        <v/>
      </c>
      <c r="O89" s="93">
        <f>SUM(O80:O88)</f>
        <v/>
      </c>
      <c r="P89" s="95">
        <f>SUM(P80:P88)</f>
        <v/>
      </c>
      <c r="Q89" s="93">
        <f>SUM(Q80:Q88)</f>
        <v/>
      </c>
      <c r="R89" s="93">
        <f>SUM(R80:R88)</f>
        <v/>
      </c>
      <c r="S89" s="95">
        <f>SUM(S80:S88)</f>
        <v/>
      </c>
      <c r="T89" s="95">
        <f>SUM(T80:T88)</f>
        <v/>
      </c>
      <c r="U89" s="98">
        <f>SUM(U80:U88)</f>
        <v/>
      </c>
    </row>
    <row r="90" ht="10" customHeight="1" s="195">
      <c r="A90" s="154" t="n"/>
      <c r="B90" s="1" t="n"/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58">
        <f>U101</f>
        <v/>
      </c>
      <c r="N90" s="1" t="n"/>
      <c r="O90" s="1" t="n"/>
      <c r="P90" s="7" t="n"/>
      <c r="Q90" s="1" t="n"/>
      <c r="R90" s="1" t="n"/>
      <c r="S90" s="1" t="n"/>
      <c r="T90" s="7" t="n"/>
      <c r="U90" s="155" t="n"/>
    </row>
    <row r="91" ht="12" customHeight="1" s="195">
      <c r="A91" s="124">
        <f>'ESTIMATE (INPUT)'!A91</f>
        <v/>
      </c>
      <c r="B91" s="194">
        <f>'ESTIMATE (INPUT)'!B91</f>
        <v/>
      </c>
      <c r="D91" s="1">
        <f>'ESTIMATE (INPUT)'!D91</f>
        <v/>
      </c>
      <c r="E91" s="2">
        <f>'ESTIMATE (INPUT)'!E91</f>
        <v/>
      </c>
      <c r="F91" s="2" t="n"/>
      <c r="G91" s="91" t="n"/>
      <c r="H91" s="91" t="n"/>
      <c r="I91" s="91" t="n"/>
      <c r="J91" s="100" t="n"/>
      <c r="K91" s="100" t="n"/>
      <c r="L91" s="100" t="n"/>
      <c r="M91" s="100" t="n"/>
      <c r="N91" s="1">
        <f>'ESTIMATE (INPUT)'!M91</f>
        <v/>
      </c>
      <c r="O91" s="1">
        <f>'ESTIMATE (INPUT)'!N91</f>
        <v/>
      </c>
      <c r="P91" s="1">
        <f>'ESTIMATE (INPUT)'!O91</f>
        <v/>
      </c>
      <c r="Q91" s="1">
        <f>'ESTIMATE (INPUT)'!P91</f>
        <v/>
      </c>
      <c r="R91" s="1">
        <f>'ESTIMATE (INPUT)'!Q91</f>
        <v/>
      </c>
      <c r="S91" s="1">
        <f>'ESTIMATE (INPUT)'!R91</f>
        <v/>
      </c>
      <c r="T91" s="1">
        <f>'ESTIMATE (INPUT)'!S91</f>
        <v/>
      </c>
      <c r="U91" s="12">
        <f>SUM(O91:T91)</f>
        <v/>
      </c>
    </row>
    <row r="92" hidden="1" ht="12" customHeight="1" s="195">
      <c r="A92" s="124">
        <f>'ESTIMATE (INPUT)'!A92</f>
        <v/>
      </c>
      <c r="B92" s="194">
        <f>'ESTIMATE (INPUT)'!B92</f>
        <v/>
      </c>
      <c r="D92" s="1">
        <f>'ESTIMATE (INPUT)'!D92</f>
        <v/>
      </c>
      <c r="E92" s="2">
        <f>'ESTIMATE (INPUT)'!E92</f>
        <v/>
      </c>
      <c r="F92" s="2" t="n"/>
      <c r="G92" s="91" t="n"/>
      <c r="H92" s="91" t="n"/>
      <c r="I92" s="91" t="n"/>
      <c r="J92" s="100" t="n"/>
      <c r="K92" s="100" t="n"/>
      <c r="L92" s="100" t="n"/>
      <c r="M92" s="100" t="n"/>
      <c r="N92" s="1">
        <f>'ESTIMATE (INPUT)'!M92</f>
        <v/>
      </c>
      <c r="O92" s="1">
        <f>'ESTIMATE (INPUT)'!N92</f>
        <v/>
      </c>
      <c r="P92" s="1">
        <f>'ESTIMATE (INPUT)'!O92</f>
        <v/>
      </c>
      <c r="Q92" s="1">
        <f>'ESTIMATE (INPUT)'!P92</f>
        <v/>
      </c>
      <c r="R92" s="1">
        <f>'ESTIMATE (INPUT)'!Q92</f>
        <v/>
      </c>
      <c r="S92" s="1">
        <f>'ESTIMATE (INPUT)'!R92</f>
        <v/>
      </c>
      <c r="T92" s="1">
        <f>'ESTIMATE (INPUT)'!S92</f>
        <v/>
      </c>
      <c r="U92" s="12">
        <f>SUM(O92:T92)</f>
        <v/>
      </c>
    </row>
    <row r="93" hidden="1" ht="12" customHeight="1" s="195">
      <c r="A93" s="124">
        <f>'ESTIMATE (INPUT)'!A93</f>
        <v/>
      </c>
      <c r="B93" s="194">
        <f>'ESTIMATE (INPUT)'!B93</f>
        <v/>
      </c>
      <c r="D93" s="1">
        <f>'ESTIMATE (INPUT)'!D93</f>
        <v/>
      </c>
      <c r="E93" s="2">
        <f>'ESTIMATE (INPUT)'!E93</f>
        <v/>
      </c>
      <c r="F93" s="2" t="n"/>
      <c r="G93" s="91" t="n"/>
      <c r="H93" s="91" t="n"/>
      <c r="I93" s="91" t="n"/>
      <c r="J93" s="100" t="n"/>
      <c r="K93" s="100" t="n"/>
      <c r="L93" s="100" t="n"/>
      <c r="M93" s="100" t="n"/>
      <c r="N93" s="1">
        <f>'ESTIMATE (INPUT)'!M93</f>
        <v/>
      </c>
      <c r="O93" s="1">
        <f>'ESTIMATE (INPUT)'!N93</f>
        <v/>
      </c>
      <c r="P93" s="1">
        <f>'ESTIMATE (INPUT)'!O93</f>
        <v/>
      </c>
      <c r="Q93" s="1">
        <f>'ESTIMATE (INPUT)'!P93</f>
        <v/>
      </c>
      <c r="R93" s="1">
        <f>'ESTIMATE (INPUT)'!Q93</f>
        <v/>
      </c>
      <c r="S93" s="1">
        <f>'ESTIMATE (INPUT)'!R93</f>
        <v/>
      </c>
      <c r="T93" s="1">
        <f>'ESTIMATE (INPUT)'!S93</f>
        <v/>
      </c>
      <c r="U93" s="12">
        <f>SUM(O93:T93)</f>
        <v/>
      </c>
    </row>
    <row r="94" ht="12" customHeight="1" s="195">
      <c r="A94" s="124">
        <f>'ESTIMATE (INPUT)'!A94</f>
        <v/>
      </c>
      <c r="B94" s="194">
        <f>'ESTIMATE (INPUT)'!B94</f>
        <v/>
      </c>
      <c r="D94" s="1">
        <f>'ESTIMATE (INPUT)'!D94</f>
        <v/>
      </c>
      <c r="E94" s="2">
        <f>'ESTIMATE (INPUT)'!E94</f>
        <v/>
      </c>
      <c r="F94" s="2" t="n"/>
      <c r="G94" s="91" t="n"/>
      <c r="H94" s="91" t="n"/>
      <c r="I94" s="91" t="n"/>
      <c r="J94" s="100" t="n"/>
      <c r="K94" s="100" t="n"/>
      <c r="L94" s="100" t="n"/>
      <c r="M94" s="100" t="n"/>
      <c r="N94" s="1">
        <f>'ESTIMATE (INPUT)'!M94</f>
        <v/>
      </c>
      <c r="O94" s="1">
        <f>'ESTIMATE (INPUT)'!N94</f>
        <v/>
      </c>
      <c r="P94" s="1">
        <f>'ESTIMATE (INPUT)'!O94</f>
        <v/>
      </c>
      <c r="Q94" s="1">
        <f>'ESTIMATE (INPUT)'!P94</f>
        <v/>
      </c>
      <c r="R94" s="1">
        <f>'ESTIMATE (INPUT)'!Q94</f>
        <v/>
      </c>
      <c r="S94" s="1">
        <f>'ESTIMATE (INPUT)'!R94</f>
        <v/>
      </c>
      <c r="T94" s="1">
        <f>'ESTIMATE (INPUT)'!S94</f>
        <v/>
      </c>
      <c r="U94" s="12">
        <f>SUM(O94:T94)</f>
        <v/>
      </c>
    </row>
    <row r="95" ht="12" customHeight="1" s="195">
      <c r="A95" s="124">
        <f>'ESTIMATE (INPUT)'!A95</f>
        <v/>
      </c>
      <c r="B95" s="194">
        <f>'ESTIMATE (INPUT)'!B95</f>
        <v/>
      </c>
      <c r="D95" s="1">
        <f>'ESTIMATE (INPUT)'!D95</f>
        <v/>
      </c>
      <c r="E95" s="2">
        <f>'ESTIMATE (INPUT)'!E95</f>
        <v/>
      </c>
      <c r="F95" s="2" t="n"/>
      <c r="G95" s="91" t="n"/>
      <c r="H95" s="91" t="n"/>
      <c r="I95" s="91" t="n"/>
      <c r="J95" s="100" t="n"/>
      <c r="K95" s="100" t="n"/>
      <c r="L95" s="100" t="n"/>
      <c r="M95" s="100" t="n"/>
      <c r="N95" s="1">
        <f>'ESTIMATE (INPUT)'!M95</f>
        <v/>
      </c>
      <c r="O95" s="1">
        <f>'ESTIMATE (INPUT)'!N95</f>
        <v/>
      </c>
      <c r="P95" s="1">
        <f>'ESTIMATE (INPUT)'!O95</f>
        <v/>
      </c>
      <c r="Q95" s="1">
        <f>'ESTIMATE (INPUT)'!P95</f>
        <v/>
      </c>
      <c r="R95" s="1">
        <f>'ESTIMATE (INPUT)'!Q95</f>
        <v/>
      </c>
      <c r="S95" s="1">
        <f>'ESTIMATE (INPUT)'!R95</f>
        <v/>
      </c>
      <c r="T95" s="1">
        <f>'ESTIMATE (INPUT)'!S95</f>
        <v/>
      </c>
      <c r="U95" s="12">
        <f>SUM(O95:T95)</f>
        <v/>
      </c>
    </row>
    <row r="96" ht="12" customHeight="1" s="195">
      <c r="A96" s="124">
        <f>'ESTIMATE (INPUT)'!A96</f>
        <v/>
      </c>
      <c r="B96" s="194">
        <f>'ESTIMATE (INPUT)'!B96</f>
        <v/>
      </c>
      <c r="D96" s="1">
        <f>'ESTIMATE (INPUT)'!D96</f>
        <v/>
      </c>
      <c r="E96" s="2">
        <f>'ESTIMATE (INPUT)'!E96</f>
        <v/>
      </c>
      <c r="F96" s="2" t="n"/>
      <c r="G96" s="91" t="n"/>
      <c r="H96" s="91" t="n"/>
      <c r="I96" s="91" t="n"/>
      <c r="J96" s="100" t="n"/>
      <c r="K96" s="100" t="n"/>
      <c r="L96" s="100" t="n"/>
      <c r="M96" s="100" t="n"/>
      <c r="N96" s="1">
        <f>'ESTIMATE (INPUT)'!M96</f>
        <v/>
      </c>
      <c r="O96" s="1">
        <f>'ESTIMATE (INPUT)'!N96</f>
        <v/>
      </c>
      <c r="P96" s="1">
        <f>'ESTIMATE (INPUT)'!O96</f>
        <v/>
      </c>
      <c r="Q96" s="1">
        <f>'ESTIMATE (INPUT)'!P96</f>
        <v/>
      </c>
      <c r="R96" s="1">
        <f>'ESTIMATE (INPUT)'!Q96</f>
        <v/>
      </c>
      <c r="S96" s="1">
        <f>'ESTIMATE (INPUT)'!R96</f>
        <v/>
      </c>
      <c r="T96" s="1">
        <f>'ESTIMATE (INPUT)'!S96</f>
        <v/>
      </c>
      <c r="U96" s="12">
        <f>SUM(O96:T96)</f>
        <v/>
      </c>
    </row>
    <row r="97" hidden="1" ht="12" customHeight="1" s="195">
      <c r="A97" s="124">
        <f>'ESTIMATE (INPUT)'!A97</f>
        <v/>
      </c>
      <c r="B97" s="194">
        <f>'ESTIMATE (INPUT)'!B97</f>
        <v/>
      </c>
      <c r="D97" s="1">
        <f>'ESTIMATE (INPUT)'!D97</f>
        <v/>
      </c>
      <c r="E97" s="2">
        <f>'ESTIMATE (INPUT)'!E97</f>
        <v/>
      </c>
      <c r="F97" s="2" t="n"/>
      <c r="G97" s="91" t="n"/>
      <c r="H97" s="91" t="n"/>
      <c r="I97" s="91" t="n"/>
      <c r="J97" s="100" t="n"/>
      <c r="K97" s="100" t="n"/>
      <c r="L97" s="100" t="n"/>
      <c r="M97" s="100" t="n"/>
      <c r="N97" s="1">
        <f>'ESTIMATE (INPUT)'!M97</f>
        <v/>
      </c>
      <c r="O97" s="1">
        <f>'ESTIMATE (INPUT)'!N97</f>
        <v/>
      </c>
      <c r="P97" s="1">
        <f>'ESTIMATE (INPUT)'!O97</f>
        <v/>
      </c>
      <c r="Q97" s="1">
        <f>'ESTIMATE (INPUT)'!P97</f>
        <v/>
      </c>
      <c r="R97" s="1">
        <f>'ESTIMATE (INPUT)'!Q97</f>
        <v/>
      </c>
      <c r="S97" s="1">
        <f>'ESTIMATE (INPUT)'!R97</f>
        <v/>
      </c>
      <c r="T97" s="1">
        <f>'ESTIMATE (INPUT)'!S97</f>
        <v/>
      </c>
      <c r="U97" s="12">
        <f>SUM(O97:T97)</f>
        <v/>
      </c>
    </row>
    <row r="98" hidden="1" ht="12" customHeight="1" s="195">
      <c r="A98" s="124">
        <f>'ESTIMATE (INPUT)'!A98</f>
        <v/>
      </c>
      <c r="B98" s="194">
        <f>'ESTIMATE (INPUT)'!B98</f>
        <v/>
      </c>
      <c r="D98" s="1">
        <f>'ESTIMATE (INPUT)'!D98</f>
        <v/>
      </c>
      <c r="E98" s="2">
        <f>'ESTIMATE (INPUT)'!E98</f>
        <v/>
      </c>
      <c r="F98" s="2" t="n"/>
      <c r="G98" s="91" t="n"/>
      <c r="H98" s="91" t="n"/>
      <c r="I98" s="91" t="n"/>
      <c r="J98" s="100" t="n"/>
      <c r="K98" s="100" t="n"/>
      <c r="L98" s="100" t="n"/>
      <c r="M98" s="100" t="n"/>
      <c r="N98" s="1">
        <f>'ESTIMATE (INPUT)'!M98</f>
        <v/>
      </c>
      <c r="O98" s="1">
        <f>'ESTIMATE (INPUT)'!N98</f>
        <v/>
      </c>
      <c r="P98" s="1">
        <f>'ESTIMATE (INPUT)'!O98</f>
        <v/>
      </c>
      <c r="Q98" s="1">
        <f>'ESTIMATE (INPUT)'!P98</f>
        <v/>
      </c>
      <c r="R98" s="1">
        <f>'ESTIMATE (INPUT)'!Q98</f>
        <v/>
      </c>
      <c r="S98" s="1">
        <f>'ESTIMATE (INPUT)'!R98</f>
        <v/>
      </c>
      <c r="T98" s="1">
        <f>'ESTIMATE (INPUT)'!S98</f>
        <v/>
      </c>
      <c r="U98" s="12">
        <f>SUM(O98:T98)</f>
        <v/>
      </c>
    </row>
    <row r="99" hidden="1" ht="12" customHeight="1" s="195">
      <c r="A99" s="124">
        <f>'ESTIMATE (INPUT)'!A99</f>
        <v/>
      </c>
      <c r="B99" s="194">
        <f>'ESTIMATE (INPUT)'!B99</f>
        <v/>
      </c>
      <c r="D99" s="1">
        <f>'ESTIMATE (INPUT)'!D99</f>
        <v/>
      </c>
      <c r="E99" s="2">
        <f>'ESTIMATE (INPUT)'!E99</f>
        <v/>
      </c>
      <c r="F99" s="2" t="n"/>
      <c r="G99" s="91" t="n"/>
      <c r="H99" s="91" t="n"/>
      <c r="I99" s="91" t="n"/>
      <c r="J99" s="100" t="n"/>
      <c r="K99" s="100" t="n"/>
      <c r="L99" s="100" t="n"/>
      <c r="M99" s="100" t="n"/>
      <c r="N99" s="1">
        <f>'ESTIMATE (INPUT)'!M99</f>
        <v/>
      </c>
      <c r="O99" s="1">
        <f>'ESTIMATE (INPUT)'!N99</f>
        <v/>
      </c>
      <c r="P99" s="1">
        <f>'ESTIMATE (INPUT)'!O99</f>
        <v/>
      </c>
      <c r="Q99" s="1">
        <f>'ESTIMATE (INPUT)'!P99</f>
        <v/>
      </c>
      <c r="R99" s="1">
        <f>'ESTIMATE (INPUT)'!Q99</f>
        <v/>
      </c>
      <c r="S99" s="1">
        <f>'ESTIMATE (INPUT)'!R99</f>
        <v/>
      </c>
      <c r="T99" s="1">
        <f>'ESTIMATE (INPUT)'!S99</f>
        <v/>
      </c>
      <c r="U99" s="12">
        <f>SUM(O99:T99)</f>
        <v/>
      </c>
    </row>
    <row r="100" hidden="1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91" t="n"/>
      <c r="N100" s="1" t="n"/>
      <c r="O100" s="1" t="n"/>
      <c r="P100" s="7" t="n"/>
      <c r="Q100" s="1" t="n"/>
      <c r="R100" s="1" t="n"/>
      <c r="S100" s="7" t="n"/>
      <c r="T100" s="7" t="n"/>
      <c r="U100" s="12" t="n"/>
    </row>
    <row r="101" ht="12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4" t="n"/>
      <c r="N101" s="93">
        <f>SUM(N90:N100)</f>
        <v/>
      </c>
      <c r="O101" s="93">
        <f>SUM(O90:O100)</f>
        <v/>
      </c>
      <c r="P101" s="95">
        <f>SUM(P90:P100)</f>
        <v/>
      </c>
      <c r="Q101" s="93">
        <f>SUM(Q90:Q100)</f>
        <v/>
      </c>
      <c r="R101" s="93">
        <f>SUM(R90:R100)</f>
        <v/>
      </c>
      <c r="S101" s="95">
        <f>SUM(S90:S100)</f>
        <v/>
      </c>
      <c r="T101" s="95">
        <f>SUM(T90:T100)</f>
        <v/>
      </c>
      <c r="U101" s="98">
        <f>SUM(U90:U100)</f>
        <v/>
      </c>
    </row>
    <row r="102" ht="10" customHeight="1" s="195">
      <c r="A102" s="154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58">
        <f>U113</f>
        <v/>
      </c>
      <c r="N102" s="1" t="n"/>
      <c r="O102" s="1" t="n"/>
      <c r="P102" s="7" t="n"/>
      <c r="Q102" s="1" t="n"/>
      <c r="R102" s="1" t="n"/>
      <c r="S102" s="7" t="n"/>
      <c r="T102" s="7" t="n"/>
      <c r="U102" s="155" t="n"/>
    </row>
    <row r="103" hidden="1" ht="12" customHeight="1" s="195">
      <c r="A103" s="124">
        <f>'ESTIMATE (INPUT)'!A103</f>
        <v/>
      </c>
      <c r="B103" s="194">
        <f>'ESTIMATE (INPUT)'!B103</f>
        <v/>
      </c>
      <c r="D103" s="1">
        <f>'ESTIMATE (INPUT)'!D103</f>
        <v/>
      </c>
      <c r="E103" s="2">
        <f>'ESTIMATE (INPUT)'!E103</f>
        <v/>
      </c>
      <c r="F103" s="2" t="n"/>
      <c r="G103" s="91" t="n"/>
      <c r="H103" s="91" t="n"/>
      <c r="I103" s="91" t="n"/>
      <c r="J103" s="100" t="n"/>
      <c r="K103" s="100" t="n"/>
      <c r="L103" s="100" t="n"/>
      <c r="M103" s="100" t="n"/>
      <c r="N103" s="1">
        <f>'ESTIMATE (INPUT)'!M103</f>
        <v/>
      </c>
      <c r="O103" s="1">
        <f>'ESTIMATE (INPUT)'!N103</f>
        <v/>
      </c>
      <c r="P103" s="1">
        <f>'ESTIMATE (INPUT)'!O103</f>
        <v/>
      </c>
      <c r="Q103" s="1">
        <f>'ESTIMATE (INPUT)'!P103</f>
        <v/>
      </c>
      <c r="R103" s="1">
        <f>'ESTIMATE (INPUT)'!Q103</f>
        <v/>
      </c>
      <c r="S103" s="1">
        <f>'ESTIMATE (INPUT)'!R103</f>
        <v/>
      </c>
      <c r="T103" s="1">
        <f>'ESTIMATE (INPUT)'!S103</f>
        <v/>
      </c>
      <c r="U103" s="12">
        <f>SUM(O103:T103)</f>
        <v/>
      </c>
    </row>
    <row r="104" ht="12" customHeight="1" s="195">
      <c r="A104" s="124">
        <f>'ESTIMATE (INPUT)'!A104</f>
        <v/>
      </c>
      <c r="B104" s="194">
        <f>'ESTIMATE (INPUT)'!B104</f>
        <v/>
      </c>
      <c r="D104" s="1">
        <f>'ESTIMATE (INPUT)'!D104</f>
        <v/>
      </c>
      <c r="E104" s="2">
        <f>'ESTIMATE (INPUT)'!E104</f>
        <v/>
      </c>
      <c r="F104" s="2" t="n"/>
      <c r="G104" s="91" t="n"/>
      <c r="H104" s="91" t="n"/>
      <c r="I104" s="91" t="n"/>
      <c r="J104" s="100" t="n"/>
      <c r="K104" s="100" t="n"/>
      <c r="L104" s="100" t="n"/>
      <c r="M104" s="100" t="n"/>
      <c r="N104" s="1">
        <f>'ESTIMATE (INPUT)'!M104</f>
        <v/>
      </c>
      <c r="O104" s="1">
        <f>'ESTIMATE (INPUT)'!N104</f>
        <v/>
      </c>
      <c r="P104" s="1">
        <f>'ESTIMATE (INPUT)'!O104</f>
        <v/>
      </c>
      <c r="Q104" s="1">
        <f>'ESTIMATE (INPUT)'!P104</f>
        <v/>
      </c>
      <c r="R104" s="1">
        <f>'ESTIMATE (INPUT)'!Q104</f>
        <v/>
      </c>
      <c r="S104" s="1">
        <f>'ESTIMATE (INPUT)'!R104</f>
        <v/>
      </c>
      <c r="T104" s="1">
        <f>'ESTIMATE (INPUT)'!S104</f>
        <v/>
      </c>
      <c r="U104" s="12">
        <f>SUM(O104:T104)</f>
        <v/>
      </c>
    </row>
    <row r="105" hidden="1" ht="12" customHeight="1" s="195">
      <c r="A105" s="124">
        <f>'ESTIMATE (INPUT)'!A105</f>
        <v/>
      </c>
      <c r="B105" s="194">
        <f>'ESTIMATE (INPUT)'!B105</f>
        <v/>
      </c>
      <c r="D105" s="1">
        <f>'ESTIMATE (INPUT)'!D105</f>
        <v/>
      </c>
      <c r="E105" s="2">
        <f>'ESTIMATE (INPUT)'!E105</f>
        <v/>
      </c>
      <c r="F105" s="2" t="n"/>
      <c r="G105" s="91" t="n"/>
      <c r="H105" s="91" t="n"/>
      <c r="I105" s="91" t="n"/>
      <c r="J105" s="100" t="n"/>
      <c r="K105" s="100" t="n"/>
      <c r="L105" s="100" t="n"/>
      <c r="M105" s="100" t="n"/>
      <c r="N105" s="1">
        <f>'ESTIMATE (INPUT)'!M105</f>
        <v/>
      </c>
      <c r="O105" s="1">
        <f>'ESTIMATE (INPUT)'!N105</f>
        <v/>
      </c>
      <c r="P105" s="1">
        <f>'ESTIMATE (INPUT)'!O105</f>
        <v/>
      </c>
      <c r="Q105" s="1">
        <f>'ESTIMATE (INPUT)'!P105</f>
        <v/>
      </c>
      <c r="R105" s="1">
        <f>'ESTIMATE (INPUT)'!Q105</f>
        <v/>
      </c>
      <c r="S105" s="1">
        <f>'ESTIMATE (INPUT)'!R105</f>
        <v/>
      </c>
      <c r="T105" s="1">
        <f>'ESTIMATE (INPUT)'!S105</f>
        <v/>
      </c>
      <c r="U105" s="12">
        <f>SUM(O105:T105)</f>
        <v/>
      </c>
    </row>
    <row r="106" hidden="1" ht="12" customHeight="1" s="195">
      <c r="A106" s="124">
        <f>'ESTIMATE (INPUT)'!A106</f>
        <v/>
      </c>
      <c r="B106" s="194">
        <f>'ESTIMATE (INPUT)'!B106</f>
        <v/>
      </c>
      <c r="D106" s="1">
        <f>'ESTIMATE (INPUT)'!D106</f>
        <v/>
      </c>
      <c r="E106" s="2">
        <f>'ESTIMATE (INPUT)'!E106</f>
        <v/>
      </c>
      <c r="F106" s="2" t="n"/>
      <c r="G106" s="91" t="n"/>
      <c r="H106" s="91" t="n"/>
      <c r="I106" s="91" t="n"/>
      <c r="J106" s="100" t="n"/>
      <c r="K106" s="100" t="n"/>
      <c r="L106" s="100" t="n"/>
      <c r="M106" s="100" t="n"/>
      <c r="N106" s="1">
        <f>'ESTIMATE (INPUT)'!M106</f>
        <v/>
      </c>
      <c r="O106" s="1">
        <f>'ESTIMATE (INPUT)'!N106</f>
        <v/>
      </c>
      <c r="P106" s="1">
        <f>'ESTIMATE (INPUT)'!O106</f>
        <v/>
      </c>
      <c r="Q106" s="1">
        <f>'ESTIMATE (INPUT)'!P106</f>
        <v/>
      </c>
      <c r="R106" s="1">
        <f>'ESTIMATE (INPUT)'!Q106</f>
        <v/>
      </c>
      <c r="S106" s="1">
        <f>'ESTIMATE (INPUT)'!R106</f>
        <v/>
      </c>
      <c r="T106" s="1">
        <f>'ESTIMATE (INPUT)'!S106</f>
        <v/>
      </c>
      <c r="U106" s="12">
        <f>SUM(O106:T106)</f>
        <v/>
      </c>
    </row>
    <row r="107" hidden="1" ht="12" customHeight="1" s="195">
      <c r="A107" s="124">
        <f>'ESTIMATE (INPUT)'!A107</f>
        <v/>
      </c>
      <c r="B107" s="194">
        <f>'ESTIMATE (INPUT)'!B107</f>
        <v/>
      </c>
      <c r="D107" s="1">
        <f>'ESTIMATE (INPUT)'!D107</f>
        <v/>
      </c>
      <c r="E107" s="2">
        <f>'ESTIMATE (INPUT)'!E107</f>
        <v/>
      </c>
      <c r="F107" s="2" t="n"/>
      <c r="G107" s="91" t="n"/>
      <c r="H107" s="91" t="n"/>
      <c r="I107" s="91" t="n"/>
      <c r="J107" s="100" t="n"/>
      <c r="K107" s="100" t="n"/>
      <c r="L107" s="100" t="n"/>
      <c r="M107" s="100" t="n"/>
      <c r="N107" s="1">
        <f>'ESTIMATE (INPUT)'!M107</f>
        <v/>
      </c>
      <c r="O107" s="1">
        <f>'ESTIMATE (INPUT)'!N107</f>
        <v/>
      </c>
      <c r="P107" s="1">
        <f>'ESTIMATE (INPUT)'!O107</f>
        <v/>
      </c>
      <c r="Q107" s="1">
        <f>'ESTIMATE (INPUT)'!P107</f>
        <v/>
      </c>
      <c r="R107" s="1">
        <f>'ESTIMATE (INPUT)'!Q107</f>
        <v/>
      </c>
      <c r="S107" s="1">
        <f>'ESTIMATE (INPUT)'!R107</f>
        <v/>
      </c>
      <c r="T107" s="1">
        <f>'ESTIMATE (INPUT)'!S107</f>
        <v/>
      </c>
      <c r="U107" s="12">
        <f>SUM(O107:T107)</f>
        <v/>
      </c>
    </row>
    <row r="108" hidden="1" ht="12" customHeight="1" s="195">
      <c r="A108" s="124">
        <f>'ESTIMATE (INPUT)'!A108</f>
        <v/>
      </c>
      <c r="B108" s="194">
        <f>'ESTIMATE (INPUT)'!B108</f>
        <v/>
      </c>
      <c r="D108" s="1">
        <f>'ESTIMATE (INPUT)'!D108</f>
        <v/>
      </c>
      <c r="E108" s="2">
        <f>'ESTIMATE (INPUT)'!E108</f>
        <v/>
      </c>
      <c r="F108" s="2" t="n"/>
      <c r="G108" s="91" t="n"/>
      <c r="H108" s="91" t="n"/>
      <c r="I108" s="91" t="n"/>
      <c r="J108" s="100" t="n"/>
      <c r="K108" s="100" t="n"/>
      <c r="L108" s="100" t="n"/>
      <c r="M108" s="100" t="n"/>
      <c r="N108" s="1">
        <f>'ESTIMATE (INPUT)'!M108</f>
        <v/>
      </c>
      <c r="O108" s="1">
        <f>'ESTIMATE (INPUT)'!N108</f>
        <v/>
      </c>
      <c r="P108" s="1">
        <f>'ESTIMATE (INPUT)'!O108</f>
        <v/>
      </c>
      <c r="Q108" s="1">
        <f>'ESTIMATE (INPUT)'!P108</f>
        <v/>
      </c>
      <c r="R108" s="1">
        <f>'ESTIMATE (INPUT)'!Q108</f>
        <v/>
      </c>
      <c r="S108" s="1">
        <f>'ESTIMATE (INPUT)'!R108</f>
        <v/>
      </c>
      <c r="T108" s="1">
        <f>'ESTIMATE (INPUT)'!S108</f>
        <v/>
      </c>
      <c r="U108" s="12">
        <f>SUM(O108:T108)</f>
        <v/>
      </c>
    </row>
    <row r="109" hidden="1" ht="12" customHeight="1" s="195">
      <c r="A109" s="124">
        <f>'ESTIMATE (INPUT)'!A109</f>
        <v/>
      </c>
      <c r="B109" s="194">
        <f>'ESTIMATE (INPUT)'!B109</f>
        <v/>
      </c>
      <c r="D109" s="1">
        <f>'ESTIMATE (INPUT)'!D109</f>
        <v/>
      </c>
      <c r="E109" s="2">
        <f>'ESTIMATE (INPUT)'!E109</f>
        <v/>
      </c>
      <c r="F109" s="2" t="n"/>
      <c r="G109" s="91" t="n"/>
      <c r="H109" s="91" t="n"/>
      <c r="I109" s="91" t="n"/>
      <c r="J109" s="100" t="n"/>
      <c r="K109" s="100" t="n"/>
      <c r="L109" s="100" t="n"/>
      <c r="M109" s="100" t="n"/>
      <c r="N109" s="1">
        <f>'ESTIMATE (INPUT)'!M109</f>
        <v/>
      </c>
      <c r="O109" s="1">
        <f>'ESTIMATE (INPUT)'!N109</f>
        <v/>
      </c>
      <c r="P109" s="1">
        <f>'ESTIMATE (INPUT)'!O109</f>
        <v/>
      </c>
      <c r="Q109" s="1">
        <f>'ESTIMATE (INPUT)'!P109</f>
        <v/>
      </c>
      <c r="R109" s="1">
        <f>'ESTIMATE (INPUT)'!Q109</f>
        <v/>
      </c>
      <c r="S109" s="1">
        <f>'ESTIMATE (INPUT)'!R109</f>
        <v/>
      </c>
      <c r="T109" s="1">
        <f>'ESTIMATE (INPUT)'!S109</f>
        <v/>
      </c>
      <c r="U109" s="12">
        <f>SUM(O109:T109)</f>
        <v/>
      </c>
    </row>
    <row r="110" hidden="1" ht="12" customHeight="1" s="195">
      <c r="A110" s="124">
        <f>'ESTIMATE (INPUT)'!A110</f>
        <v/>
      </c>
      <c r="B110" s="194">
        <f>'ESTIMATE (INPUT)'!B110</f>
        <v/>
      </c>
      <c r="D110" s="1">
        <f>'ESTIMATE (INPUT)'!D110</f>
        <v/>
      </c>
      <c r="E110" s="2">
        <f>'ESTIMATE (INPUT)'!E110</f>
        <v/>
      </c>
      <c r="F110" s="2" t="n"/>
      <c r="G110" s="91" t="n"/>
      <c r="H110" s="91" t="n"/>
      <c r="I110" s="91" t="n"/>
      <c r="J110" s="100" t="n"/>
      <c r="K110" s="100" t="n"/>
      <c r="L110" s="100" t="n"/>
      <c r="M110" s="100" t="n"/>
      <c r="N110" s="1">
        <f>'ESTIMATE (INPUT)'!M110</f>
        <v/>
      </c>
      <c r="O110" s="1">
        <f>'ESTIMATE (INPUT)'!N110</f>
        <v/>
      </c>
      <c r="P110" s="1">
        <f>'ESTIMATE (INPUT)'!O110</f>
        <v/>
      </c>
      <c r="Q110" s="1">
        <f>'ESTIMATE (INPUT)'!P110</f>
        <v/>
      </c>
      <c r="R110" s="1">
        <f>'ESTIMATE (INPUT)'!Q110</f>
        <v/>
      </c>
      <c r="S110" s="1">
        <f>'ESTIMATE (INPUT)'!R110</f>
        <v/>
      </c>
      <c r="T110" s="1">
        <f>'ESTIMATE (INPUT)'!S110</f>
        <v/>
      </c>
      <c r="U110" s="12">
        <f>SUM(O110:T110)</f>
        <v/>
      </c>
    </row>
    <row r="111" hidden="1" ht="12" customHeight="1" s="195">
      <c r="A111" s="124">
        <f>'ESTIMATE (INPUT)'!A111</f>
        <v/>
      </c>
      <c r="B111" s="194">
        <f>'ESTIMATE (INPUT)'!B111</f>
        <v/>
      </c>
      <c r="D111" s="1">
        <f>'ESTIMATE (INPUT)'!D111</f>
        <v/>
      </c>
      <c r="E111" s="2">
        <f>'ESTIMATE (INPUT)'!E111</f>
        <v/>
      </c>
      <c r="F111" s="2" t="n"/>
      <c r="G111" s="91" t="n"/>
      <c r="H111" s="91" t="n"/>
      <c r="I111" s="91" t="n"/>
      <c r="J111" s="100" t="n"/>
      <c r="K111" s="100" t="n"/>
      <c r="L111" s="100" t="n"/>
      <c r="M111" s="100" t="n"/>
      <c r="N111" s="1">
        <f>'ESTIMATE (INPUT)'!M111</f>
        <v/>
      </c>
      <c r="O111" s="1">
        <f>'ESTIMATE (INPUT)'!N111</f>
        <v/>
      </c>
      <c r="P111" s="1">
        <f>'ESTIMATE (INPUT)'!O111</f>
        <v/>
      </c>
      <c r="Q111" s="1">
        <f>'ESTIMATE (INPUT)'!P111</f>
        <v/>
      </c>
      <c r="R111" s="1">
        <f>'ESTIMATE (INPUT)'!Q111</f>
        <v/>
      </c>
      <c r="S111" s="1">
        <f>'ESTIMATE (INPUT)'!R111</f>
        <v/>
      </c>
      <c r="T111" s="1">
        <f>'ESTIMATE (INPUT)'!S111</f>
        <v/>
      </c>
      <c r="U111" s="12">
        <f>SUM(O111:T111)</f>
        <v/>
      </c>
    </row>
    <row r="112" hidden="1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91" t="n"/>
      <c r="N112" s="1" t="n"/>
      <c r="O112" s="1" t="n"/>
      <c r="P112" s="7" t="n"/>
      <c r="Q112" s="1" t="n"/>
      <c r="R112" s="1" t="n"/>
      <c r="S112" s="7" t="n"/>
      <c r="T112" s="7" t="n"/>
      <c r="U112" s="12" t="n"/>
    </row>
    <row r="113" ht="12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4" t="n"/>
      <c r="N113" s="93">
        <f>SUM(N102:N112)</f>
        <v/>
      </c>
      <c r="O113" s="93">
        <f>SUM(O102:O112)</f>
        <v/>
      </c>
      <c r="P113" s="95">
        <f>SUM(P102:P112)</f>
        <v/>
      </c>
      <c r="Q113" s="93">
        <f>SUM(Q102:Q112)</f>
        <v/>
      </c>
      <c r="R113" s="93">
        <f>SUM(R102:R112)</f>
        <v/>
      </c>
      <c r="S113" s="95">
        <f>SUM(S102:S112)</f>
        <v/>
      </c>
      <c r="T113" s="95">
        <f>SUM(T102:T112)</f>
        <v/>
      </c>
      <c r="U113" s="98">
        <f>SUM(U102:U112)</f>
        <v/>
      </c>
    </row>
    <row r="114" ht="10" customHeight="1" s="195">
      <c r="A114" s="154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58">
        <f>U129</f>
        <v/>
      </c>
      <c r="N114" s="1" t="n"/>
      <c r="O114" s="1" t="n"/>
      <c r="P114" s="7" t="n"/>
      <c r="Q114" s="1" t="n"/>
      <c r="R114" s="1" t="n"/>
      <c r="S114" s="7" t="n"/>
      <c r="T114" s="7" t="n"/>
      <c r="U114" s="155" t="n"/>
    </row>
    <row r="115" ht="12" customHeight="1" s="195">
      <c r="A115" s="124">
        <f>'ESTIMATE (INPUT)'!A115</f>
        <v/>
      </c>
      <c r="B115" s="194">
        <f>'ESTIMATE (INPUT)'!B115</f>
        <v/>
      </c>
      <c r="D115" s="1">
        <f>'ESTIMATE (INPUT)'!D115</f>
        <v/>
      </c>
      <c r="E115" s="2">
        <f>'ESTIMATE (INPUT)'!E115</f>
        <v/>
      </c>
      <c r="F115" s="2" t="n"/>
      <c r="G115" s="91" t="n"/>
      <c r="H115" s="91" t="n"/>
      <c r="I115" s="91" t="n"/>
      <c r="J115" s="100" t="n"/>
      <c r="K115" s="100" t="n"/>
      <c r="L115" s="100" t="n"/>
      <c r="M115" s="100" t="n"/>
      <c r="N115" s="1">
        <f>'ESTIMATE (INPUT)'!M115</f>
        <v/>
      </c>
      <c r="O115" s="1">
        <f>'ESTIMATE (INPUT)'!N115</f>
        <v/>
      </c>
      <c r="P115" s="1">
        <f>'ESTIMATE (INPUT)'!O115</f>
        <v/>
      </c>
      <c r="Q115" s="1">
        <f>'ESTIMATE (INPUT)'!P115</f>
        <v/>
      </c>
      <c r="R115" s="1">
        <f>'ESTIMATE (INPUT)'!Q115</f>
        <v/>
      </c>
      <c r="S115" s="1">
        <f>'ESTIMATE (INPUT)'!R115</f>
        <v/>
      </c>
      <c r="T115" s="1">
        <f>'ESTIMATE (INPUT)'!S115</f>
        <v/>
      </c>
      <c r="U115" s="12">
        <f>SUM(O115:T115)</f>
        <v/>
      </c>
    </row>
    <row r="116" hidden="1" ht="12" customHeight="1" s="195">
      <c r="A116" s="124">
        <f>'ESTIMATE (INPUT)'!A116</f>
        <v/>
      </c>
      <c r="B116" s="194">
        <f>'ESTIMATE (INPUT)'!B116</f>
        <v/>
      </c>
      <c r="D116" s="1">
        <f>'ESTIMATE (INPUT)'!D116</f>
        <v/>
      </c>
      <c r="E116" s="2">
        <f>'ESTIMATE (INPUT)'!E116</f>
        <v/>
      </c>
      <c r="F116" s="2" t="n"/>
      <c r="G116" s="91" t="n"/>
      <c r="H116" s="91" t="n"/>
      <c r="I116" s="91" t="n"/>
      <c r="J116" s="100" t="n"/>
      <c r="K116" s="100" t="n"/>
      <c r="L116" s="100" t="n"/>
      <c r="M116" s="100" t="n"/>
      <c r="N116" s="1">
        <f>'ESTIMATE (INPUT)'!M116</f>
        <v/>
      </c>
      <c r="O116" s="1">
        <f>'ESTIMATE (INPUT)'!N116</f>
        <v/>
      </c>
      <c r="P116" s="1">
        <f>'ESTIMATE (INPUT)'!O116</f>
        <v/>
      </c>
      <c r="Q116" s="1">
        <f>'ESTIMATE (INPUT)'!P116</f>
        <v/>
      </c>
      <c r="R116" s="1">
        <f>'ESTIMATE (INPUT)'!Q116</f>
        <v/>
      </c>
      <c r="S116" s="1">
        <f>'ESTIMATE (INPUT)'!R116</f>
        <v/>
      </c>
      <c r="T116" s="1">
        <f>'ESTIMATE (INPUT)'!S116</f>
        <v/>
      </c>
      <c r="U116" s="12">
        <f>SUM(O116:T116)</f>
        <v/>
      </c>
    </row>
    <row r="117" hidden="1" ht="12" customHeight="1" s="195">
      <c r="A117" s="124">
        <f>'ESTIMATE (INPUT)'!A117</f>
        <v/>
      </c>
      <c r="B117" s="194">
        <f>'ESTIMATE (INPUT)'!B117</f>
        <v/>
      </c>
      <c r="D117" s="1">
        <f>'ESTIMATE (INPUT)'!D117</f>
        <v/>
      </c>
      <c r="E117" s="2">
        <f>'ESTIMATE (INPUT)'!E117</f>
        <v/>
      </c>
      <c r="F117" s="2" t="n"/>
      <c r="G117" s="91" t="n"/>
      <c r="H117" s="91" t="n"/>
      <c r="I117" s="91" t="n"/>
      <c r="J117" s="100" t="n"/>
      <c r="K117" s="100" t="n"/>
      <c r="L117" s="100" t="n"/>
      <c r="M117" s="100" t="n"/>
      <c r="N117" s="1">
        <f>'ESTIMATE (INPUT)'!M117</f>
        <v/>
      </c>
      <c r="O117" s="1">
        <f>'ESTIMATE (INPUT)'!N117</f>
        <v/>
      </c>
      <c r="P117" s="1">
        <f>'ESTIMATE (INPUT)'!O117</f>
        <v/>
      </c>
      <c r="Q117" s="1">
        <f>'ESTIMATE (INPUT)'!P117</f>
        <v/>
      </c>
      <c r="R117" s="1">
        <f>'ESTIMATE (INPUT)'!Q117</f>
        <v/>
      </c>
      <c r="S117" s="1">
        <f>'ESTIMATE (INPUT)'!R117</f>
        <v/>
      </c>
      <c r="T117" s="1">
        <f>'ESTIMATE (INPUT)'!S117</f>
        <v/>
      </c>
      <c r="U117" s="12">
        <f>SUM(O117:T117)</f>
        <v/>
      </c>
    </row>
    <row r="118" hidden="1" ht="12" customHeight="1" s="195">
      <c r="A118" s="124">
        <f>'ESTIMATE (INPUT)'!A118</f>
        <v/>
      </c>
      <c r="B118" s="194">
        <f>'ESTIMATE (INPUT)'!B118</f>
        <v/>
      </c>
      <c r="D118" s="1">
        <f>'ESTIMATE (INPUT)'!D118</f>
        <v/>
      </c>
      <c r="E118" s="2">
        <f>'ESTIMATE (INPUT)'!E118</f>
        <v/>
      </c>
      <c r="F118" s="2" t="n"/>
      <c r="G118" s="91" t="n"/>
      <c r="H118" s="91" t="n"/>
      <c r="I118" s="91" t="n"/>
      <c r="J118" s="100" t="n"/>
      <c r="K118" s="100" t="n"/>
      <c r="L118" s="100" t="n"/>
      <c r="M118" s="100" t="n"/>
      <c r="N118" s="1">
        <f>'ESTIMATE (INPUT)'!M118</f>
        <v/>
      </c>
      <c r="O118" s="1">
        <f>'ESTIMATE (INPUT)'!N118</f>
        <v/>
      </c>
      <c r="P118" s="1">
        <f>'ESTIMATE (INPUT)'!O118</f>
        <v/>
      </c>
      <c r="Q118" s="1">
        <f>'ESTIMATE (INPUT)'!P118</f>
        <v/>
      </c>
      <c r="R118" s="1">
        <f>'ESTIMATE (INPUT)'!Q118</f>
        <v/>
      </c>
      <c r="S118" s="1">
        <f>'ESTIMATE (INPUT)'!R118</f>
        <v/>
      </c>
      <c r="T118" s="1">
        <f>'ESTIMATE (INPUT)'!S118</f>
        <v/>
      </c>
      <c r="U118" s="12">
        <f>SUM(O118:T118)</f>
        <v/>
      </c>
    </row>
    <row r="119" hidden="1" ht="12" customHeight="1" s="195">
      <c r="A119" s="124">
        <f>'ESTIMATE (INPUT)'!A119</f>
        <v/>
      </c>
      <c r="B119" s="194">
        <f>'ESTIMATE (INPUT)'!B119</f>
        <v/>
      </c>
      <c r="D119" s="1">
        <f>'ESTIMATE (INPUT)'!D119</f>
        <v/>
      </c>
      <c r="E119" s="2">
        <f>'ESTIMATE (INPUT)'!E119</f>
        <v/>
      </c>
      <c r="F119" s="2" t="n"/>
      <c r="G119" s="91" t="n"/>
      <c r="H119" s="91" t="n"/>
      <c r="I119" s="91" t="n"/>
      <c r="J119" s="100" t="n"/>
      <c r="K119" s="100" t="n"/>
      <c r="L119" s="100" t="n"/>
      <c r="M119" s="100" t="n"/>
      <c r="N119" s="1">
        <f>'ESTIMATE (INPUT)'!M119</f>
        <v/>
      </c>
      <c r="O119" s="1">
        <f>'ESTIMATE (INPUT)'!N119</f>
        <v/>
      </c>
      <c r="P119" s="1">
        <f>'ESTIMATE (INPUT)'!O119</f>
        <v/>
      </c>
      <c r="Q119" s="1">
        <f>'ESTIMATE (INPUT)'!P119</f>
        <v/>
      </c>
      <c r="R119" s="1">
        <f>'ESTIMATE (INPUT)'!Q119</f>
        <v/>
      </c>
      <c r="S119" s="1">
        <f>'ESTIMATE (INPUT)'!R119</f>
        <v/>
      </c>
      <c r="T119" s="1">
        <f>'ESTIMATE (INPUT)'!S119</f>
        <v/>
      </c>
      <c r="U119" s="12">
        <f>SUM(O119:T119)</f>
        <v/>
      </c>
    </row>
    <row r="120" hidden="1" ht="12" customHeight="1" s="195">
      <c r="A120" s="124">
        <f>'ESTIMATE (INPUT)'!A120</f>
        <v/>
      </c>
      <c r="B120" s="194">
        <f>'ESTIMATE (INPUT)'!B120</f>
        <v/>
      </c>
      <c r="D120" s="1">
        <f>'ESTIMATE (INPUT)'!D120</f>
        <v/>
      </c>
      <c r="E120" s="2">
        <f>'ESTIMATE (INPUT)'!E120</f>
        <v/>
      </c>
      <c r="F120" s="2" t="n"/>
      <c r="G120" s="91" t="n"/>
      <c r="H120" s="91" t="n"/>
      <c r="I120" s="91" t="n"/>
      <c r="J120" s="100" t="n"/>
      <c r="K120" s="100" t="n"/>
      <c r="L120" s="100" t="n"/>
      <c r="M120" s="100" t="n"/>
      <c r="N120" s="1">
        <f>'ESTIMATE (INPUT)'!M120</f>
        <v/>
      </c>
      <c r="O120" s="1">
        <f>'ESTIMATE (INPUT)'!N120</f>
        <v/>
      </c>
      <c r="P120" s="1">
        <f>'ESTIMATE (INPUT)'!O120</f>
        <v/>
      </c>
      <c r="Q120" s="1">
        <f>'ESTIMATE (INPUT)'!P120</f>
        <v/>
      </c>
      <c r="R120" s="1">
        <f>'ESTIMATE (INPUT)'!Q120</f>
        <v/>
      </c>
      <c r="S120" s="1">
        <f>'ESTIMATE (INPUT)'!R120</f>
        <v/>
      </c>
      <c r="T120" s="1">
        <f>'ESTIMATE (INPUT)'!S120</f>
        <v/>
      </c>
      <c r="U120" s="12">
        <f>SUM(O120:T120)</f>
        <v/>
      </c>
    </row>
    <row r="121" hidden="1" ht="12" customHeight="1" s="195">
      <c r="A121" s="124">
        <f>'ESTIMATE (INPUT)'!A121</f>
        <v/>
      </c>
      <c r="B121" s="194">
        <f>'ESTIMATE (INPUT)'!B121</f>
        <v/>
      </c>
      <c r="D121" s="1">
        <f>'ESTIMATE (INPUT)'!D121</f>
        <v/>
      </c>
      <c r="E121" s="2">
        <f>'ESTIMATE (INPUT)'!E121</f>
        <v/>
      </c>
      <c r="F121" s="2" t="n"/>
      <c r="G121" s="91" t="n"/>
      <c r="H121" s="91" t="n"/>
      <c r="I121" s="91" t="n"/>
      <c r="J121" s="100" t="n"/>
      <c r="K121" s="100" t="n"/>
      <c r="L121" s="100" t="n"/>
      <c r="M121" s="100" t="n"/>
      <c r="N121" s="1">
        <f>'ESTIMATE (INPUT)'!M121</f>
        <v/>
      </c>
      <c r="O121" s="1">
        <f>'ESTIMATE (INPUT)'!N121</f>
        <v/>
      </c>
      <c r="P121" s="1">
        <f>'ESTIMATE (INPUT)'!O121</f>
        <v/>
      </c>
      <c r="Q121" s="1">
        <f>'ESTIMATE (INPUT)'!P121</f>
        <v/>
      </c>
      <c r="R121" s="1">
        <f>'ESTIMATE (INPUT)'!Q121</f>
        <v/>
      </c>
      <c r="S121" s="1">
        <f>'ESTIMATE (INPUT)'!R121</f>
        <v/>
      </c>
      <c r="T121" s="1">
        <f>'ESTIMATE (INPUT)'!S121</f>
        <v/>
      </c>
      <c r="U121" s="12">
        <f>SUM(O121:T121)</f>
        <v/>
      </c>
    </row>
    <row r="122" hidden="1" ht="12" customHeight="1" s="195">
      <c r="A122" s="124">
        <f>'ESTIMATE (INPUT)'!A122</f>
        <v/>
      </c>
      <c r="B122" s="194">
        <f>'ESTIMATE (INPUT)'!B122</f>
        <v/>
      </c>
      <c r="D122" s="1">
        <f>'ESTIMATE (INPUT)'!D122</f>
        <v/>
      </c>
      <c r="E122" s="2">
        <f>'ESTIMATE (INPUT)'!E122</f>
        <v/>
      </c>
      <c r="F122" s="2" t="n"/>
      <c r="G122" s="91" t="n"/>
      <c r="H122" s="91" t="n"/>
      <c r="I122" s="91" t="n"/>
      <c r="J122" s="100" t="n"/>
      <c r="K122" s="100" t="n"/>
      <c r="L122" s="100" t="n"/>
      <c r="M122" s="100" t="n"/>
      <c r="N122" s="1">
        <f>'ESTIMATE (INPUT)'!M122</f>
        <v/>
      </c>
      <c r="O122" s="1">
        <f>'ESTIMATE (INPUT)'!N122</f>
        <v/>
      </c>
      <c r="P122" s="1">
        <f>'ESTIMATE (INPUT)'!O122</f>
        <v/>
      </c>
      <c r="Q122" s="1">
        <f>'ESTIMATE (INPUT)'!P122</f>
        <v/>
      </c>
      <c r="R122" s="1">
        <f>'ESTIMATE (INPUT)'!Q122</f>
        <v/>
      </c>
      <c r="S122" s="1">
        <f>'ESTIMATE (INPUT)'!R122</f>
        <v/>
      </c>
      <c r="T122" s="1">
        <f>'ESTIMATE (INPUT)'!S122</f>
        <v/>
      </c>
      <c r="U122" s="12">
        <f>SUM(O122:T122)</f>
        <v/>
      </c>
    </row>
    <row r="123" hidden="1" ht="12" customHeight="1" s="195">
      <c r="A123" s="124">
        <f>'ESTIMATE (INPUT)'!A123</f>
        <v/>
      </c>
      <c r="B123" s="194">
        <f>'ESTIMATE (INPUT)'!B123</f>
        <v/>
      </c>
      <c r="D123" s="1">
        <f>'ESTIMATE (INPUT)'!D123</f>
        <v/>
      </c>
      <c r="E123" s="2">
        <f>'ESTIMATE (INPUT)'!E123</f>
        <v/>
      </c>
      <c r="F123" s="2" t="n"/>
      <c r="G123" s="91" t="n"/>
      <c r="H123" s="91" t="n"/>
      <c r="I123" s="91" t="n"/>
      <c r="J123" s="100" t="n"/>
      <c r="K123" s="100" t="n"/>
      <c r="L123" s="100" t="n"/>
      <c r="M123" s="100" t="n"/>
      <c r="N123" s="1">
        <f>'ESTIMATE (INPUT)'!M123</f>
        <v/>
      </c>
      <c r="O123" s="1">
        <f>'ESTIMATE (INPUT)'!N123</f>
        <v/>
      </c>
      <c r="P123" s="1">
        <f>'ESTIMATE (INPUT)'!O123</f>
        <v/>
      </c>
      <c r="Q123" s="1">
        <f>'ESTIMATE (INPUT)'!P123</f>
        <v/>
      </c>
      <c r="R123" s="1">
        <f>'ESTIMATE (INPUT)'!Q123</f>
        <v/>
      </c>
      <c r="S123" s="1">
        <f>'ESTIMATE (INPUT)'!R123</f>
        <v/>
      </c>
      <c r="T123" s="1">
        <f>'ESTIMATE (INPUT)'!S123</f>
        <v/>
      </c>
      <c r="U123" s="12">
        <f>SUM(O123:T123)</f>
        <v/>
      </c>
    </row>
    <row r="124" hidden="1" ht="12" customHeight="1" s="195">
      <c r="A124" s="124">
        <f>'ESTIMATE (INPUT)'!A124</f>
        <v/>
      </c>
      <c r="B124" s="194">
        <f>'ESTIMATE (INPUT)'!B124</f>
        <v/>
      </c>
      <c r="D124" s="1">
        <f>'ESTIMATE (INPUT)'!D124</f>
        <v/>
      </c>
      <c r="E124" s="2">
        <f>'ESTIMATE (INPUT)'!E124</f>
        <v/>
      </c>
      <c r="F124" s="2" t="n"/>
      <c r="G124" s="91" t="n"/>
      <c r="H124" s="91" t="n"/>
      <c r="I124" s="91" t="n"/>
      <c r="J124" s="100" t="n"/>
      <c r="K124" s="100" t="n"/>
      <c r="L124" s="100" t="n"/>
      <c r="M124" s="100" t="n"/>
      <c r="N124" s="1">
        <f>'ESTIMATE (INPUT)'!M124</f>
        <v/>
      </c>
      <c r="O124" s="1">
        <f>'ESTIMATE (INPUT)'!N124</f>
        <v/>
      </c>
      <c r="P124" s="1">
        <f>'ESTIMATE (INPUT)'!O124</f>
        <v/>
      </c>
      <c r="Q124" s="1">
        <f>'ESTIMATE (INPUT)'!P124</f>
        <v/>
      </c>
      <c r="R124" s="1">
        <f>'ESTIMATE (INPUT)'!Q124</f>
        <v/>
      </c>
      <c r="S124" s="1">
        <f>'ESTIMATE (INPUT)'!R124</f>
        <v/>
      </c>
      <c r="T124" s="1">
        <f>'ESTIMATE (INPUT)'!S124</f>
        <v/>
      </c>
      <c r="U124" s="12">
        <f>SUM(O124:T124)</f>
        <v/>
      </c>
    </row>
    <row r="125" hidden="1" ht="12" customHeight="1" s="195">
      <c r="A125" s="124">
        <f>'ESTIMATE (INPUT)'!A125</f>
        <v/>
      </c>
      <c r="B125" s="194">
        <f>'ESTIMATE (INPUT)'!B125</f>
        <v/>
      </c>
      <c r="D125" s="1">
        <f>'ESTIMATE (INPUT)'!D125</f>
        <v/>
      </c>
      <c r="E125" s="2">
        <f>'ESTIMATE (INPUT)'!E125</f>
        <v/>
      </c>
      <c r="F125" s="2" t="n"/>
      <c r="G125" s="91" t="n"/>
      <c r="H125" s="91" t="n"/>
      <c r="I125" s="91" t="n"/>
      <c r="J125" s="100" t="n"/>
      <c r="K125" s="100" t="n"/>
      <c r="L125" s="100" t="n"/>
      <c r="M125" s="100" t="n"/>
      <c r="N125" s="1">
        <f>'ESTIMATE (INPUT)'!M125</f>
        <v/>
      </c>
      <c r="O125" s="1">
        <f>'ESTIMATE (INPUT)'!N125</f>
        <v/>
      </c>
      <c r="P125" s="1">
        <f>'ESTIMATE (INPUT)'!O125</f>
        <v/>
      </c>
      <c r="Q125" s="1">
        <f>'ESTIMATE (INPUT)'!P125</f>
        <v/>
      </c>
      <c r="R125" s="1">
        <f>'ESTIMATE (INPUT)'!Q125</f>
        <v/>
      </c>
      <c r="S125" s="1">
        <f>'ESTIMATE (INPUT)'!R125</f>
        <v/>
      </c>
      <c r="T125" s="1">
        <f>'ESTIMATE (INPUT)'!S125</f>
        <v/>
      </c>
      <c r="U125" s="12">
        <f>SUM(O125:T125)</f>
        <v/>
      </c>
    </row>
    <row r="126" hidden="1" ht="12" customHeight="1" s="195">
      <c r="A126" s="124">
        <f>'ESTIMATE (INPUT)'!A126</f>
        <v/>
      </c>
      <c r="B126" s="194">
        <f>'ESTIMATE (INPUT)'!B126</f>
        <v/>
      </c>
      <c r="D126" s="1">
        <f>'ESTIMATE (INPUT)'!D126</f>
        <v/>
      </c>
      <c r="E126" s="2">
        <f>'ESTIMATE (INPUT)'!E126</f>
        <v/>
      </c>
      <c r="F126" s="2" t="n"/>
      <c r="G126" s="91" t="n"/>
      <c r="H126" s="91" t="n"/>
      <c r="I126" s="91" t="n"/>
      <c r="J126" s="100" t="n"/>
      <c r="K126" s="100" t="n"/>
      <c r="L126" s="100" t="n"/>
      <c r="M126" s="100" t="n"/>
      <c r="N126" s="1">
        <f>'ESTIMATE (INPUT)'!M126</f>
        <v/>
      </c>
      <c r="O126" s="1">
        <f>'ESTIMATE (INPUT)'!N126</f>
        <v/>
      </c>
      <c r="P126" s="1">
        <f>'ESTIMATE (INPUT)'!O126</f>
        <v/>
      </c>
      <c r="Q126" s="1">
        <f>'ESTIMATE (INPUT)'!P126</f>
        <v/>
      </c>
      <c r="R126" s="1">
        <f>'ESTIMATE (INPUT)'!Q126</f>
        <v/>
      </c>
      <c r="S126" s="1">
        <f>'ESTIMATE (INPUT)'!R126</f>
        <v/>
      </c>
      <c r="T126" s="1">
        <f>'ESTIMATE (INPUT)'!S126</f>
        <v/>
      </c>
      <c r="U126" s="12">
        <f>SUM(O126:T126)</f>
        <v/>
      </c>
    </row>
    <row r="127" hidden="1" ht="12" customHeight="1" s="195">
      <c r="A127" s="124">
        <f>'ESTIMATE (INPUT)'!A127</f>
        <v/>
      </c>
      <c r="B127" s="194">
        <f>'ESTIMATE (INPUT)'!B127</f>
        <v/>
      </c>
      <c r="D127" s="1">
        <f>'ESTIMATE (INPUT)'!D127</f>
        <v/>
      </c>
      <c r="E127" s="2">
        <f>'ESTIMATE (INPUT)'!E127</f>
        <v/>
      </c>
      <c r="F127" s="2" t="n"/>
      <c r="G127" s="91" t="n"/>
      <c r="H127" s="91" t="n"/>
      <c r="I127" s="91" t="n"/>
      <c r="J127" s="100" t="n"/>
      <c r="K127" s="100" t="n"/>
      <c r="L127" s="100" t="n"/>
      <c r="M127" s="100" t="n"/>
      <c r="N127" s="1">
        <f>'ESTIMATE (INPUT)'!M127</f>
        <v/>
      </c>
      <c r="O127" s="1">
        <f>'ESTIMATE (INPUT)'!N127</f>
        <v/>
      </c>
      <c r="P127" s="1">
        <f>'ESTIMATE (INPUT)'!O127</f>
        <v/>
      </c>
      <c r="Q127" s="1">
        <f>'ESTIMATE (INPUT)'!P127</f>
        <v/>
      </c>
      <c r="R127" s="1">
        <f>'ESTIMATE (INPUT)'!Q127</f>
        <v/>
      </c>
      <c r="S127" s="1">
        <f>'ESTIMATE (INPUT)'!R127</f>
        <v/>
      </c>
      <c r="T127" s="1">
        <f>'ESTIMATE (INPUT)'!S127</f>
        <v/>
      </c>
      <c r="U127" s="12">
        <f>SUM(O127:T127)</f>
        <v/>
      </c>
    </row>
    <row r="128" hidden="1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91" t="n"/>
      <c r="N128" s="1" t="n"/>
      <c r="O128" s="1" t="n"/>
      <c r="P128" s="7" t="n"/>
      <c r="Q128" s="1" t="n"/>
      <c r="R128" s="1" t="n"/>
      <c r="S128" s="7" t="n"/>
      <c r="T128" s="7" t="n"/>
      <c r="U128" s="12" t="n"/>
    </row>
    <row r="129" ht="12" customHeight="1" s="195">
      <c r="A129" s="125" t="n">
        <v>8700</v>
      </c>
      <c r="B129" s="93" t="inlineStr">
        <is>
          <t>DOORS/JAMBS/RELITES/HDW</t>
        </is>
      </c>
      <c r="C129" s="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4" t="n"/>
      <c r="N129" s="93">
        <f>SUM(N114:N128)</f>
        <v/>
      </c>
      <c r="O129" s="93">
        <f>SUM(O114:O128)</f>
        <v/>
      </c>
      <c r="P129" s="95">
        <f>SUM(P114:P128)</f>
        <v/>
      </c>
      <c r="Q129" s="93">
        <f>SUM(Q114:Q128)</f>
        <v/>
      </c>
      <c r="R129" s="93">
        <f>SUM(R114:R128)</f>
        <v/>
      </c>
      <c r="S129" s="95">
        <f>SUM(S114:S128)</f>
        <v/>
      </c>
      <c r="T129" s="95">
        <f>SUM(T114:T128)</f>
        <v/>
      </c>
      <c r="U129" s="98">
        <f>SUM(U114:U128)</f>
        <v/>
      </c>
    </row>
    <row r="130" ht="10" customHeight="1" s="195">
      <c r="A130" s="154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58">
        <f>U140</f>
        <v/>
      </c>
      <c r="N130" s="1" t="n"/>
      <c r="O130" s="1" t="n"/>
      <c r="P130" s="7" t="n"/>
      <c r="Q130" s="1" t="n"/>
      <c r="R130" s="1" t="n"/>
      <c r="S130" s="7" t="n"/>
      <c r="T130" s="7" t="n"/>
      <c r="U130" s="155" t="n"/>
    </row>
    <row r="131" ht="12" customHeight="1" s="195">
      <c r="A131" s="124">
        <f>'ESTIMATE (INPUT)'!A131</f>
        <v/>
      </c>
      <c r="B131" s="194">
        <f>'ESTIMATE (INPUT)'!B131</f>
        <v/>
      </c>
      <c r="D131" s="1">
        <f>'ESTIMATE (INPUT)'!D131</f>
        <v/>
      </c>
      <c r="E131" s="2">
        <f>'ESTIMATE (INPUT)'!E131</f>
        <v/>
      </c>
      <c r="F131" s="2" t="n"/>
      <c r="G131" s="91" t="n"/>
      <c r="H131" s="91" t="n"/>
      <c r="I131" s="91" t="n"/>
      <c r="J131" s="100" t="n"/>
      <c r="K131" s="100" t="n"/>
      <c r="L131" s="100" t="n"/>
      <c r="M131" s="100" t="n"/>
      <c r="N131" s="1">
        <f>'ESTIMATE (INPUT)'!M131</f>
        <v/>
      </c>
      <c r="O131" s="1">
        <f>'ESTIMATE (INPUT)'!N131</f>
        <v/>
      </c>
      <c r="P131" s="1">
        <f>'ESTIMATE (INPUT)'!O131</f>
        <v/>
      </c>
      <c r="Q131" s="1">
        <f>'ESTIMATE (INPUT)'!P131</f>
        <v/>
      </c>
      <c r="R131" s="1">
        <f>'ESTIMATE (INPUT)'!Q131</f>
        <v/>
      </c>
      <c r="S131" s="1">
        <f>'ESTIMATE (INPUT)'!R131</f>
        <v/>
      </c>
      <c r="T131" s="1">
        <f>'ESTIMATE (INPUT)'!S131</f>
        <v/>
      </c>
      <c r="U131" s="12">
        <f>SUM(O131:T131)</f>
        <v/>
      </c>
    </row>
    <row r="132" hidden="1" ht="12" customHeight="1" s="195">
      <c r="A132" s="124">
        <f>'ESTIMATE (INPUT)'!A132</f>
        <v/>
      </c>
      <c r="B132" s="194">
        <f>'ESTIMATE (INPUT)'!B132</f>
        <v/>
      </c>
      <c r="D132" s="1">
        <f>'ESTIMATE (INPUT)'!D132</f>
        <v/>
      </c>
      <c r="E132" s="2">
        <f>'ESTIMATE (INPUT)'!E132</f>
        <v/>
      </c>
      <c r="F132" s="2" t="n"/>
      <c r="G132" s="91" t="n"/>
      <c r="H132" s="91" t="n"/>
      <c r="I132" s="91" t="n"/>
      <c r="J132" s="100" t="n"/>
      <c r="K132" s="100" t="n"/>
      <c r="L132" s="100" t="n"/>
      <c r="M132" s="100" t="n"/>
      <c r="N132" s="1">
        <f>'ESTIMATE (INPUT)'!M132</f>
        <v/>
      </c>
      <c r="O132" s="1">
        <f>'ESTIMATE (INPUT)'!N132</f>
        <v/>
      </c>
      <c r="P132" s="1">
        <f>'ESTIMATE (INPUT)'!O132</f>
        <v/>
      </c>
      <c r="Q132" s="1">
        <f>'ESTIMATE (INPUT)'!P132</f>
        <v/>
      </c>
      <c r="R132" s="1">
        <f>'ESTIMATE (INPUT)'!Q132</f>
        <v/>
      </c>
      <c r="S132" s="1">
        <f>'ESTIMATE (INPUT)'!R132</f>
        <v/>
      </c>
      <c r="T132" s="1">
        <f>'ESTIMATE (INPUT)'!S132</f>
        <v/>
      </c>
      <c r="U132" s="12">
        <f>SUM(O132:T132)</f>
        <v/>
      </c>
    </row>
    <row r="133" ht="12" customHeight="1" s="195">
      <c r="A133" s="124">
        <f>'ESTIMATE (INPUT)'!A133</f>
        <v/>
      </c>
      <c r="B133" s="194">
        <f>'ESTIMATE (INPUT)'!B133</f>
        <v/>
      </c>
      <c r="D133" s="1">
        <f>'ESTIMATE (INPUT)'!D133</f>
        <v/>
      </c>
      <c r="E133" s="2">
        <f>'ESTIMATE (INPUT)'!E133</f>
        <v/>
      </c>
      <c r="F133" s="2" t="n"/>
      <c r="G133" s="91" t="n"/>
      <c r="H133" s="91" t="n"/>
      <c r="I133" s="91" t="n"/>
      <c r="J133" s="100" t="n"/>
      <c r="K133" s="100" t="n"/>
      <c r="L133" s="100" t="n"/>
      <c r="M133" s="100" t="n"/>
      <c r="N133" s="1">
        <f>'ESTIMATE (INPUT)'!M133</f>
        <v/>
      </c>
      <c r="O133" s="1">
        <f>'ESTIMATE (INPUT)'!N133</f>
        <v/>
      </c>
      <c r="P133" s="1">
        <f>'ESTIMATE (INPUT)'!O133</f>
        <v/>
      </c>
      <c r="Q133" s="1">
        <f>'ESTIMATE (INPUT)'!P133</f>
        <v/>
      </c>
      <c r="R133" s="1">
        <f>'ESTIMATE (INPUT)'!Q133</f>
        <v/>
      </c>
      <c r="S133" s="1">
        <f>'ESTIMATE (INPUT)'!R133</f>
        <v/>
      </c>
      <c r="T133" s="1">
        <f>'ESTIMATE (INPUT)'!S133</f>
        <v/>
      </c>
      <c r="U133" s="12">
        <f>SUM(O133:T133)</f>
        <v/>
      </c>
    </row>
    <row r="134" hidden="1" ht="12" customHeight="1" s="195">
      <c r="A134" s="124">
        <f>'ESTIMATE (INPUT)'!A134</f>
        <v/>
      </c>
      <c r="B134" s="194">
        <f>'ESTIMATE (INPUT)'!B134</f>
        <v/>
      </c>
      <c r="D134" s="1">
        <f>'ESTIMATE (INPUT)'!D134</f>
        <v/>
      </c>
      <c r="E134" s="2">
        <f>'ESTIMATE (INPUT)'!E134</f>
        <v/>
      </c>
      <c r="F134" s="2" t="n"/>
      <c r="G134" s="91" t="n"/>
      <c r="H134" s="91" t="n"/>
      <c r="I134" s="91" t="n"/>
      <c r="J134" s="100" t="n"/>
      <c r="K134" s="100" t="n"/>
      <c r="L134" s="100" t="n"/>
      <c r="M134" s="100" t="n"/>
      <c r="N134" s="1">
        <f>'ESTIMATE (INPUT)'!M134</f>
        <v/>
      </c>
      <c r="O134" s="1">
        <f>'ESTIMATE (INPUT)'!N134</f>
        <v/>
      </c>
      <c r="P134" s="1">
        <f>'ESTIMATE (INPUT)'!O134</f>
        <v/>
      </c>
      <c r="Q134" s="1">
        <f>'ESTIMATE (INPUT)'!P134</f>
        <v/>
      </c>
      <c r="R134" s="1">
        <f>'ESTIMATE (INPUT)'!Q134</f>
        <v/>
      </c>
      <c r="S134" s="1">
        <f>'ESTIMATE (INPUT)'!R134</f>
        <v/>
      </c>
      <c r="T134" s="1">
        <f>'ESTIMATE (INPUT)'!S134</f>
        <v/>
      </c>
      <c r="U134" s="12">
        <f>SUM(O134:T134)</f>
        <v/>
      </c>
    </row>
    <row r="135" hidden="1" ht="12" customHeight="1" s="195">
      <c r="A135" s="124">
        <f>'ESTIMATE (INPUT)'!A135</f>
        <v/>
      </c>
      <c r="B135" s="194">
        <f>'ESTIMATE (INPUT)'!B135</f>
        <v/>
      </c>
      <c r="D135" s="1">
        <f>'ESTIMATE (INPUT)'!D135</f>
        <v/>
      </c>
      <c r="E135" s="2">
        <f>'ESTIMATE (INPUT)'!E135</f>
        <v/>
      </c>
      <c r="F135" s="2" t="n"/>
      <c r="G135" s="91" t="n"/>
      <c r="H135" s="91" t="n"/>
      <c r="I135" s="91" t="n"/>
      <c r="J135" s="100" t="n"/>
      <c r="K135" s="100" t="n"/>
      <c r="L135" s="100" t="n"/>
      <c r="M135" s="100" t="n"/>
      <c r="N135" s="1">
        <f>'ESTIMATE (INPUT)'!M135</f>
        <v/>
      </c>
      <c r="O135" s="1">
        <f>'ESTIMATE (INPUT)'!N135</f>
        <v/>
      </c>
      <c r="P135" s="1">
        <f>'ESTIMATE (INPUT)'!O135</f>
        <v/>
      </c>
      <c r="Q135" s="1">
        <f>'ESTIMATE (INPUT)'!P135</f>
        <v/>
      </c>
      <c r="R135" s="1">
        <f>'ESTIMATE (INPUT)'!Q135</f>
        <v/>
      </c>
      <c r="S135" s="1">
        <f>'ESTIMATE (INPUT)'!R135</f>
        <v/>
      </c>
      <c r="T135" s="1">
        <f>'ESTIMATE (INPUT)'!S135</f>
        <v/>
      </c>
      <c r="U135" s="12">
        <f>SUM(O135:T135)</f>
        <v/>
      </c>
    </row>
    <row r="136" hidden="1" ht="12" customHeight="1" s="195">
      <c r="A136" s="124">
        <f>'ESTIMATE (INPUT)'!A136</f>
        <v/>
      </c>
      <c r="B136" s="194">
        <f>'ESTIMATE (INPUT)'!B136</f>
        <v/>
      </c>
      <c r="D136" s="1">
        <f>'ESTIMATE (INPUT)'!D136</f>
        <v/>
      </c>
      <c r="E136" s="2">
        <f>'ESTIMATE (INPUT)'!E136</f>
        <v/>
      </c>
      <c r="F136" s="2" t="n"/>
      <c r="G136" s="91" t="n"/>
      <c r="H136" s="91" t="n"/>
      <c r="I136" s="91" t="n"/>
      <c r="J136" s="100" t="n"/>
      <c r="K136" s="100" t="n"/>
      <c r="L136" s="100" t="n"/>
      <c r="M136" s="100" t="n"/>
      <c r="N136" s="1">
        <f>'ESTIMATE (INPUT)'!M136</f>
        <v/>
      </c>
      <c r="O136" s="1">
        <f>'ESTIMATE (INPUT)'!N136</f>
        <v/>
      </c>
      <c r="P136" s="1">
        <f>'ESTIMATE (INPUT)'!O136</f>
        <v/>
      </c>
      <c r="Q136" s="1">
        <f>'ESTIMATE (INPUT)'!P136</f>
        <v/>
      </c>
      <c r="R136" s="1">
        <f>'ESTIMATE (INPUT)'!Q136</f>
        <v/>
      </c>
      <c r="S136" s="1">
        <f>'ESTIMATE (INPUT)'!R136</f>
        <v/>
      </c>
      <c r="T136" s="1">
        <f>'ESTIMATE (INPUT)'!S136</f>
        <v/>
      </c>
      <c r="U136" s="12">
        <f>SUM(O136:T136)</f>
        <v/>
      </c>
    </row>
    <row r="137" hidden="1" ht="12" customHeight="1" s="195">
      <c r="A137" s="124">
        <f>'ESTIMATE (INPUT)'!A137</f>
        <v/>
      </c>
      <c r="B137" s="194">
        <f>'ESTIMATE (INPUT)'!B137</f>
        <v/>
      </c>
      <c r="D137" s="1">
        <f>'ESTIMATE (INPUT)'!D137</f>
        <v/>
      </c>
      <c r="E137" s="2">
        <f>'ESTIMATE (INPUT)'!E137</f>
        <v/>
      </c>
      <c r="F137" s="2" t="n"/>
      <c r="G137" s="91" t="n"/>
      <c r="H137" s="91" t="n"/>
      <c r="I137" s="91" t="n"/>
      <c r="J137" s="100" t="n"/>
      <c r="K137" s="100" t="n"/>
      <c r="L137" s="100" t="n"/>
      <c r="M137" s="100" t="n"/>
      <c r="N137" s="1">
        <f>'ESTIMATE (INPUT)'!M137</f>
        <v/>
      </c>
      <c r="O137" s="1">
        <f>'ESTIMATE (INPUT)'!N137</f>
        <v/>
      </c>
      <c r="P137" s="1">
        <f>'ESTIMATE (INPUT)'!O137</f>
        <v/>
      </c>
      <c r="Q137" s="1">
        <f>'ESTIMATE (INPUT)'!P137</f>
        <v/>
      </c>
      <c r="R137" s="1">
        <f>'ESTIMATE (INPUT)'!Q137</f>
        <v/>
      </c>
      <c r="S137" s="1">
        <f>'ESTIMATE (INPUT)'!R137</f>
        <v/>
      </c>
      <c r="T137" s="1">
        <f>'ESTIMATE (INPUT)'!S137</f>
        <v/>
      </c>
      <c r="U137" s="12">
        <f>SUM(O137:T137)</f>
        <v/>
      </c>
    </row>
    <row r="138" hidden="1" ht="12" customHeight="1" s="195">
      <c r="A138" s="124">
        <f>'ESTIMATE (INPUT)'!A138</f>
        <v/>
      </c>
      <c r="B138" s="194">
        <f>'ESTIMATE (INPUT)'!B138</f>
        <v/>
      </c>
      <c r="D138" s="1">
        <f>'ESTIMATE (INPUT)'!D138</f>
        <v/>
      </c>
      <c r="E138" s="2">
        <f>'ESTIMATE (INPUT)'!E138</f>
        <v/>
      </c>
      <c r="F138" s="2" t="n"/>
      <c r="G138" s="91" t="n"/>
      <c r="H138" s="91" t="n"/>
      <c r="I138" s="91" t="n"/>
      <c r="J138" s="100" t="n"/>
      <c r="K138" s="100" t="n"/>
      <c r="L138" s="100" t="n"/>
      <c r="M138" s="100" t="n"/>
      <c r="N138" s="1">
        <f>'ESTIMATE (INPUT)'!M138</f>
        <v/>
      </c>
      <c r="O138" s="1">
        <f>'ESTIMATE (INPUT)'!N138</f>
        <v/>
      </c>
      <c r="P138" s="1">
        <f>'ESTIMATE (INPUT)'!O138</f>
        <v/>
      </c>
      <c r="Q138" s="1">
        <f>'ESTIMATE (INPUT)'!P138</f>
        <v/>
      </c>
      <c r="R138" s="1">
        <f>'ESTIMATE (INPUT)'!Q138</f>
        <v/>
      </c>
      <c r="S138" s="1">
        <f>'ESTIMATE (INPUT)'!R138</f>
        <v/>
      </c>
      <c r="T138" s="1">
        <f>'ESTIMATE (INPUT)'!S138</f>
        <v/>
      </c>
      <c r="U138" s="12">
        <f>SUM(O138:T138)</f>
        <v/>
      </c>
    </row>
    <row r="139" hidden="1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91" t="n"/>
      <c r="N139" s="1" t="n"/>
      <c r="O139" s="1" t="n"/>
      <c r="P139" s="7" t="n"/>
      <c r="Q139" s="1" t="n"/>
      <c r="R139" s="1" t="n"/>
      <c r="S139" s="7" t="n"/>
      <c r="T139" s="7" t="n"/>
      <c r="U139" s="12" t="n"/>
    </row>
    <row r="140" ht="12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4" t="n"/>
      <c r="N140" s="93">
        <f>SUM(N130:N139)</f>
        <v/>
      </c>
      <c r="O140" s="93">
        <f>SUM(O130:O139)</f>
        <v/>
      </c>
      <c r="P140" s="95">
        <f>SUM(P130:P139)</f>
        <v/>
      </c>
      <c r="Q140" s="93">
        <f>SUM(Q130:Q139)</f>
        <v/>
      </c>
      <c r="R140" s="93">
        <f>SUM(R130:R139)</f>
        <v/>
      </c>
      <c r="S140" s="95">
        <f>SUM(S130:S139)</f>
        <v/>
      </c>
      <c r="T140" s="95">
        <f>SUM(T130:T139)</f>
        <v/>
      </c>
      <c r="U140" s="98">
        <f>SUM(U130:U139)</f>
        <v/>
      </c>
    </row>
    <row r="141" hidden="1" ht="10" customHeight="1" s="195">
      <c r="A141" s="154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58">
        <f>U149</f>
        <v/>
      </c>
      <c r="N141" s="1" t="n"/>
      <c r="O141" s="1" t="n"/>
      <c r="P141" s="7" t="n"/>
      <c r="Q141" s="1" t="n"/>
      <c r="R141" s="1" t="n"/>
      <c r="S141" s="7" t="n"/>
      <c r="T141" s="7" t="n"/>
      <c r="U141" s="155" t="n"/>
    </row>
    <row r="142" hidden="1" ht="12" customHeight="1" s="195">
      <c r="A142" s="124">
        <f>'ESTIMATE (INPUT)'!A142</f>
        <v/>
      </c>
      <c r="B142" s="194">
        <f>'ESTIMATE (INPUT)'!B142</f>
        <v/>
      </c>
      <c r="D142" s="1">
        <f>'ESTIMATE (INPUT)'!D142</f>
        <v/>
      </c>
      <c r="E142" s="2">
        <f>'ESTIMATE (INPUT)'!E142</f>
        <v/>
      </c>
      <c r="F142" s="2" t="n"/>
      <c r="G142" s="91" t="n"/>
      <c r="H142" s="91" t="n"/>
      <c r="I142" s="91" t="n"/>
      <c r="J142" s="100" t="n"/>
      <c r="K142" s="100" t="n"/>
      <c r="L142" s="100" t="n"/>
      <c r="M142" s="100" t="n"/>
      <c r="N142" s="1">
        <f>'ESTIMATE (INPUT)'!M142</f>
        <v/>
      </c>
      <c r="O142" s="1">
        <f>'ESTIMATE (INPUT)'!N142</f>
        <v/>
      </c>
      <c r="P142" s="1">
        <f>'ESTIMATE (INPUT)'!O142</f>
        <v/>
      </c>
      <c r="Q142" s="1">
        <f>'ESTIMATE (INPUT)'!P142</f>
        <v/>
      </c>
      <c r="R142" s="1">
        <f>'ESTIMATE (INPUT)'!Q142</f>
        <v/>
      </c>
      <c r="S142" s="1">
        <f>'ESTIMATE (INPUT)'!R142</f>
        <v/>
      </c>
      <c r="T142" s="1">
        <f>'ESTIMATE (INPUT)'!S142</f>
        <v/>
      </c>
      <c r="U142" s="12">
        <f>SUM(O142:T142)</f>
        <v/>
      </c>
    </row>
    <row r="143" hidden="1" ht="12" customHeight="1" s="195">
      <c r="A143" s="124">
        <f>'ESTIMATE (INPUT)'!A143</f>
        <v/>
      </c>
      <c r="B143" s="194">
        <f>'ESTIMATE (INPUT)'!B143</f>
        <v/>
      </c>
      <c r="D143" s="1">
        <f>'ESTIMATE (INPUT)'!D143</f>
        <v/>
      </c>
      <c r="E143" s="2">
        <f>'ESTIMATE (INPUT)'!E143</f>
        <v/>
      </c>
      <c r="F143" s="2" t="n"/>
      <c r="G143" s="91" t="n"/>
      <c r="H143" s="91" t="n"/>
      <c r="I143" s="91" t="n"/>
      <c r="J143" s="100" t="n"/>
      <c r="K143" s="100" t="n"/>
      <c r="L143" s="100" t="n"/>
      <c r="M143" s="100" t="n"/>
      <c r="N143" s="1">
        <f>'ESTIMATE (INPUT)'!M143</f>
        <v/>
      </c>
      <c r="O143" s="1">
        <f>'ESTIMATE (INPUT)'!N143</f>
        <v/>
      </c>
      <c r="P143" s="1">
        <f>'ESTIMATE (INPUT)'!O143</f>
        <v/>
      </c>
      <c r="Q143" s="1">
        <f>'ESTIMATE (INPUT)'!P143</f>
        <v/>
      </c>
      <c r="R143" s="1">
        <f>'ESTIMATE (INPUT)'!Q143</f>
        <v/>
      </c>
      <c r="S143" s="1">
        <f>'ESTIMATE (INPUT)'!R143</f>
        <v/>
      </c>
      <c r="T143" s="1">
        <f>'ESTIMATE (INPUT)'!S143</f>
        <v/>
      </c>
      <c r="U143" s="12">
        <f>SUM(O143:T143)</f>
        <v/>
      </c>
    </row>
    <row r="144" hidden="1" ht="12" customHeight="1" s="195">
      <c r="A144" s="124">
        <f>'ESTIMATE (INPUT)'!A144</f>
        <v/>
      </c>
      <c r="B144" s="194">
        <f>'ESTIMATE (INPUT)'!B144</f>
        <v/>
      </c>
      <c r="D144" s="1">
        <f>'ESTIMATE (INPUT)'!D144</f>
        <v/>
      </c>
      <c r="E144" s="2">
        <f>'ESTIMATE (INPUT)'!E144</f>
        <v/>
      </c>
      <c r="F144" s="2" t="n"/>
      <c r="G144" s="91" t="n"/>
      <c r="H144" s="91" t="n"/>
      <c r="I144" s="91" t="n"/>
      <c r="J144" s="100" t="n"/>
      <c r="K144" s="100" t="n"/>
      <c r="L144" s="100" t="n"/>
      <c r="M144" s="100" t="n"/>
      <c r="N144" s="1">
        <f>'ESTIMATE (INPUT)'!M144</f>
        <v/>
      </c>
      <c r="O144" s="1">
        <f>'ESTIMATE (INPUT)'!N144</f>
        <v/>
      </c>
      <c r="P144" s="1">
        <f>'ESTIMATE (INPUT)'!O144</f>
        <v/>
      </c>
      <c r="Q144" s="1">
        <f>'ESTIMATE (INPUT)'!P144</f>
        <v/>
      </c>
      <c r="R144" s="1">
        <f>'ESTIMATE (INPUT)'!Q144</f>
        <v/>
      </c>
      <c r="S144" s="1">
        <f>'ESTIMATE (INPUT)'!R144</f>
        <v/>
      </c>
      <c r="T144" s="1">
        <f>'ESTIMATE (INPUT)'!S144</f>
        <v/>
      </c>
      <c r="U144" s="12">
        <f>SUM(O144:T144)</f>
        <v/>
      </c>
    </row>
    <row r="145" hidden="1" ht="12" customHeight="1" s="195">
      <c r="A145" s="124">
        <f>'ESTIMATE (INPUT)'!A145</f>
        <v/>
      </c>
      <c r="B145" s="194">
        <f>'ESTIMATE (INPUT)'!B145</f>
        <v/>
      </c>
      <c r="D145" s="1">
        <f>'ESTIMATE (INPUT)'!D145</f>
        <v/>
      </c>
      <c r="E145" s="2">
        <f>'ESTIMATE (INPUT)'!E145</f>
        <v/>
      </c>
      <c r="F145" s="2" t="n"/>
      <c r="G145" s="91" t="n"/>
      <c r="H145" s="91" t="n"/>
      <c r="I145" s="91" t="n"/>
      <c r="J145" s="100" t="n"/>
      <c r="K145" s="100" t="n"/>
      <c r="L145" s="100" t="n"/>
      <c r="M145" s="100" t="n"/>
      <c r="N145" s="1">
        <f>'ESTIMATE (INPUT)'!M145</f>
        <v/>
      </c>
      <c r="O145" s="1">
        <f>'ESTIMATE (INPUT)'!N145</f>
        <v/>
      </c>
      <c r="P145" s="1">
        <f>'ESTIMATE (INPUT)'!O145</f>
        <v/>
      </c>
      <c r="Q145" s="1">
        <f>'ESTIMATE (INPUT)'!P145</f>
        <v/>
      </c>
      <c r="R145" s="1">
        <f>'ESTIMATE (INPUT)'!Q145</f>
        <v/>
      </c>
      <c r="S145" s="1">
        <f>'ESTIMATE (INPUT)'!R145</f>
        <v/>
      </c>
      <c r="T145" s="1">
        <f>'ESTIMATE (INPUT)'!S145</f>
        <v/>
      </c>
      <c r="U145" s="12">
        <f>SUM(O145:T145)</f>
        <v/>
      </c>
    </row>
    <row r="146" hidden="1" ht="12" customHeight="1" s="195">
      <c r="A146" s="124">
        <f>'ESTIMATE (INPUT)'!A146</f>
        <v/>
      </c>
      <c r="B146" s="194">
        <f>'ESTIMATE (INPUT)'!B146</f>
        <v/>
      </c>
      <c r="D146" s="1">
        <f>'ESTIMATE (INPUT)'!D146</f>
        <v/>
      </c>
      <c r="E146" s="2">
        <f>'ESTIMATE (INPUT)'!E146</f>
        <v/>
      </c>
      <c r="F146" s="2" t="n"/>
      <c r="G146" s="91" t="n"/>
      <c r="H146" s="91" t="n"/>
      <c r="I146" s="91" t="n"/>
      <c r="J146" s="100" t="n"/>
      <c r="K146" s="100" t="n"/>
      <c r="L146" s="100" t="n"/>
      <c r="M146" s="100" t="n"/>
      <c r="N146" s="1">
        <f>'ESTIMATE (INPUT)'!M146</f>
        <v/>
      </c>
      <c r="O146" s="1">
        <f>'ESTIMATE (INPUT)'!N146</f>
        <v/>
      </c>
      <c r="P146" s="1">
        <f>'ESTIMATE (INPUT)'!O146</f>
        <v/>
      </c>
      <c r="Q146" s="1">
        <f>'ESTIMATE (INPUT)'!P146</f>
        <v/>
      </c>
      <c r="R146" s="1">
        <f>'ESTIMATE (INPUT)'!Q146</f>
        <v/>
      </c>
      <c r="S146" s="1">
        <f>'ESTIMATE (INPUT)'!R146</f>
        <v/>
      </c>
      <c r="T146" s="1">
        <f>'ESTIMATE (INPUT)'!S146</f>
        <v/>
      </c>
      <c r="U146" s="12">
        <f>SUM(O146:T146)</f>
        <v/>
      </c>
    </row>
    <row r="147" hidden="1" ht="12" customHeight="1" s="195">
      <c r="A147" s="124">
        <f>'ESTIMATE (INPUT)'!A147</f>
        <v/>
      </c>
      <c r="B147" s="194">
        <f>'ESTIMATE (INPUT)'!B147</f>
        <v/>
      </c>
      <c r="D147" s="1">
        <f>'ESTIMATE (INPUT)'!D147</f>
        <v/>
      </c>
      <c r="E147" s="2">
        <f>'ESTIMATE (INPUT)'!E147</f>
        <v/>
      </c>
      <c r="F147" s="2" t="n"/>
      <c r="G147" s="91" t="n"/>
      <c r="H147" s="91" t="n"/>
      <c r="I147" s="91" t="n"/>
      <c r="J147" s="100" t="n"/>
      <c r="K147" s="100" t="n"/>
      <c r="L147" s="100" t="n"/>
      <c r="M147" s="100" t="n"/>
      <c r="N147" s="1">
        <f>'ESTIMATE (INPUT)'!M147</f>
        <v/>
      </c>
      <c r="O147" s="1">
        <f>'ESTIMATE (INPUT)'!N147</f>
        <v/>
      </c>
      <c r="P147" s="1">
        <f>'ESTIMATE (INPUT)'!O147</f>
        <v/>
      </c>
      <c r="Q147" s="1">
        <f>'ESTIMATE (INPUT)'!P147</f>
        <v/>
      </c>
      <c r="R147" s="1">
        <f>'ESTIMATE (INPUT)'!Q147</f>
        <v/>
      </c>
      <c r="S147" s="1">
        <f>'ESTIMATE (INPUT)'!R147</f>
        <v/>
      </c>
      <c r="T147" s="1">
        <f>'ESTIMATE (INPUT)'!S147</f>
        <v/>
      </c>
      <c r="U147" s="12">
        <f>SUM(O147:T147)</f>
        <v/>
      </c>
    </row>
    <row r="148" hidden="1" ht="5" customHeight="1" s="195">
      <c r="A148" s="124" t="n"/>
      <c r="B148" s="1" t="n"/>
      <c r="C148" s="1" t="n"/>
      <c r="D148" s="1" t="n"/>
      <c r="E148" s="2" t="n"/>
      <c r="F148" s="2" t="n"/>
      <c r="G148" s="91" t="n"/>
      <c r="H148" s="91" t="n"/>
      <c r="I148" s="91" t="n"/>
      <c r="J148" s="91" t="n"/>
      <c r="K148" s="91" t="n"/>
      <c r="L148" s="91" t="n"/>
      <c r="M148" s="91" t="n"/>
      <c r="N148" s="1" t="n"/>
      <c r="O148" s="1" t="n"/>
      <c r="P148" s="7" t="n"/>
      <c r="Q148" s="1" t="n"/>
      <c r="R148" s="1" t="n"/>
      <c r="S148" s="7" t="n"/>
      <c r="T148" s="7" t="n"/>
      <c r="U148" s="12" t="n"/>
    </row>
    <row r="149" hidden="1" ht="12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4" t="n"/>
      <c r="N149" s="93">
        <f>SUM(N141:N148)</f>
        <v/>
      </c>
      <c r="O149" s="93">
        <f>SUM(O141:O148)</f>
        <v/>
      </c>
      <c r="P149" s="95">
        <f>SUM(P141:P148)</f>
        <v/>
      </c>
      <c r="Q149" s="93">
        <f>SUM(Q141:Q148)</f>
        <v/>
      </c>
      <c r="R149" s="93">
        <f>SUM(R141:R148)</f>
        <v/>
      </c>
      <c r="S149" s="95">
        <f>SUM(S141:S148)</f>
        <v/>
      </c>
      <c r="T149" s="95">
        <f>SUM(T141:T148)</f>
        <v/>
      </c>
      <c r="U149" s="98">
        <f>SUM(U141:U148)</f>
        <v/>
      </c>
    </row>
    <row r="150" hidden="1" ht="10" customHeight="1" s="195">
      <c r="A150" s="154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91">
        <f>U158</f>
        <v/>
      </c>
      <c r="N150" s="1" t="n"/>
      <c r="O150" s="1" t="n"/>
      <c r="P150" s="7" t="n"/>
      <c r="Q150" s="1" t="n"/>
      <c r="R150" s="1" t="n"/>
      <c r="S150" s="7" t="n"/>
      <c r="T150" s="7" t="n"/>
      <c r="U150" s="155" t="n"/>
    </row>
    <row r="151" hidden="1" ht="12" customHeight="1" s="195">
      <c r="A151" s="124">
        <f>'ESTIMATE (INPUT)'!A151</f>
        <v/>
      </c>
      <c r="B151" s="194">
        <f>'ESTIMATE (INPUT)'!B151</f>
        <v/>
      </c>
      <c r="D151" s="1">
        <f>'ESTIMATE (INPUT)'!D151</f>
        <v/>
      </c>
      <c r="E151" s="2">
        <f>'ESTIMATE (INPUT)'!E151</f>
        <v/>
      </c>
      <c r="F151" s="2" t="n"/>
      <c r="G151" s="91" t="n"/>
      <c r="H151" s="91" t="n"/>
      <c r="I151" s="91" t="n"/>
      <c r="J151" s="100" t="n"/>
      <c r="K151" s="100" t="n"/>
      <c r="L151" s="100" t="n"/>
      <c r="M151" s="100" t="n"/>
      <c r="N151" s="1">
        <f>'ESTIMATE (INPUT)'!M151</f>
        <v/>
      </c>
      <c r="O151" s="1">
        <f>'ESTIMATE (INPUT)'!N151</f>
        <v/>
      </c>
      <c r="P151" s="1">
        <f>'ESTIMATE (INPUT)'!O151</f>
        <v/>
      </c>
      <c r="Q151" s="1">
        <f>'ESTIMATE (INPUT)'!P151</f>
        <v/>
      </c>
      <c r="R151" s="1">
        <f>'ESTIMATE (INPUT)'!Q151</f>
        <v/>
      </c>
      <c r="S151" s="1">
        <f>'ESTIMATE (INPUT)'!R151</f>
        <v/>
      </c>
      <c r="T151" s="1">
        <f>'ESTIMATE (INPUT)'!S151</f>
        <v/>
      </c>
      <c r="U151" s="12">
        <f>SUM(O151:T151)</f>
        <v/>
      </c>
    </row>
    <row r="152" hidden="1" ht="12" customHeight="1" s="195">
      <c r="A152" s="124">
        <f>'ESTIMATE (INPUT)'!A152</f>
        <v/>
      </c>
      <c r="B152" s="194">
        <f>'ESTIMATE (INPUT)'!B152</f>
        <v/>
      </c>
      <c r="D152" s="1">
        <f>'ESTIMATE (INPUT)'!D152</f>
        <v/>
      </c>
      <c r="E152" s="2">
        <f>'ESTIMATE (INPUT)'!E152</f>
        <v/>
      </c>
      <c r="F152" s="2" t="n"/>
      <c r="G152" s="91" t="n"/>
      <c r="H152" s="91" t="n"/>
      <c r="I152" s="91" t="n"/>
      <c r="J152" s="100" t="n"/>
      <c r="K152" s="100" t="n"/>
      <c r="L152" s="100" t="n"/>
      <c r="M152" s="100" t="n"/>
      <c r="N152" s="1">
        <f>'ESTIMATE (INPUT)'!M152</f>
        <v/>
      </c>
      <c r="O152" s="1">
        <f>'ESTIMATE (INPUT)'!N152</f>
        <v/>
      </c>
      <c r="P152" s="1">
        <f>'ESTIMATE (INPUT)'!O152</f>
        <v/>
      </c>
      <c r="Q152" s="1">
        <f>'ESTIMATE (INPUT)'!P152</f>
        <v/>
      </c>
      <c r="R152" s="1">
        <f>'ESTIMATE (INPUT)'!Q152</f>
        <v/>
      </c>
      <c r="S152" s="1">
        <f>'ESTIMATE (INPUT)'!R152</f>
        <v/>
      </c>
      <c r="T152" s="1">
        <f>'ESTIMATE (INPUT)'!S152</f>
        <v/>
      </c>
      <c r="U152" s="12">
        <f>SUM(O152:T152)</f>
        <v/>
      </c>
    </row>
    <row r="153" hidden="1" ht="12" customHeight="1" s="195">
      <c r="A153" s="124">
        <f>'ESTIMATE (INPUT)'!A153</f>
        <v/>
      </c>
      <c r="B153" s="194">
        <f>'ESTIMATE (INPUT)'!B153</f>
        <v/>
      </c>
      <c r="D153" s="1">
        <f>'ESTIMATE (INPUT)'!D153</f>
        <v/>
      </c>
      <c r="E153" s="2">
        <f>'ESTIMATE (INPUT)'!E153</f>
        <v/>
      </c>
      <c r="F153" s="2" t="n"/>
      <c r="G153" s="91" t="n"/>
      <c r="H153" s="91" t="n"/>
      <c r="I153" s="91" t="n"/>
      <c r="J153" s="100" t="n"/>
      <c r="K153" s="100" t="n"/>
      <c r="L153" s="100" t="n"/>
      <c r="M153" s="100" t="n"/>
      <c r="N153" s="1">
        <f>'ESTIMATE (INPUT)'!M153</f>
        <v/>
      </c>
      <c r="O153" s="1">
        <f>'ESTIMATE (INPUT)'!N153</f>
        <v/>
      </c>
      <c r="P153" s="1">
        <f>'ESTIMATE (INPUT)'!O153</f>
        <v/>
      </c>
      <c r="Q153" s="1">
        <f>'ESTIMATE (INPUT)'!P153</f>
        <v/>
      </c>
      <c r="R153" s="1">
        <f>'ESTIMATE (INPUT)'!Q153</f>
        <v/>
      </c>
      <c r="S153" s="1">
        <f>'ESTIMATE (INPUT)'!R153</f>
        <v/>
      </c>
      <c r="T153" s="1">
        <f>'ESTIMATE (INPUT)'!S153</f>
        <v/>
      </c>
      <c r="U153" s="12">
        <f>SUM(O153:T153)</f>
        <v/>
      </c>
    </row>
    <row r="154" hidden="1" ht="12" customHeight="1" s="195">
      <c r="A154" s="124">
        <f>'ESTIMATE (INPUT)'!A154</f>
        <v/>
      </c>
      <c r="B154" s="194">
        <f>'ESTIMATE (INPUT)'!B154</f>
        <v/>
      </c>
      <c r="D154" s="1">
        <f>'ESTIMATE (INPUT)'!D154</f>
        <v/>
      </c>
      <c r="E154" s="2">
        <f>'ESTIMATE (INPUT)'!E154</f>
        <v/>
      </c>
      <c r="F154" s="2" t="n"/>
      <c r="G154" s="91" t="n"/>
      <c r="H154" s="91" t="n"/>
      <c r="I154" s="91" t="n"/>
      <c r="J154" s="100" t="n"/>
      <c r="K154" s="100" t="n"/>
      <c r="L154" s="100" t="n"/>
      <c r="M154" s="100" t="n"/>
      <c r="N154" s="1">
        <f>'ESTIMATE (INPUT)'!M154</f>
        <v/>
      </c>
      <c r="O154" s="1">
        <f>'ESTIMATE (INPUT)'!N154</f>
        <v/>
      </c>
      <c r="P154" s="1">
        <f>'ESTIMATE (INPUT)'!O154</f>
        <v/>
      </c>
      <c r="Q154" s="1">
        <f>'ESTIMATE (INPUT)'!P154</f>
        <v/>
      </c>
      <c r="R154" s="1">
        <f>'ESTIMATE (INPUT)'!Q154</f>
        <v/>
      </c>
      <c r="S154" s="1">
        <f>'ESTIMATE (INPUT)'!R154</f>
        <v/>
      </c>
      <c r="T154" s="1">
        <f>'ESTIMATE (INPUT)'!S154</f>
        <v/>
      </c>
      <c r="U154" s="12">
        <f>SUM(O154:T154)</f>
        <v/>
      </c>
    </row>
    <row r="155" hidden="1" ht="12" customHeight="1" s="195">
      <c r="A155" s="124">
        <f>'ESTIMATE (INPUT)'!A155</f>
        <v/>
      </c>
      <c r="B155" s="194">
        <f>'ESTIMATE (INPUT)'!B155</f>
        <v/>
      </c>
      <c r="D155" s="1">
        <f>'ESTIMATE (INPUT)'!D155</f>
        <v/>
      </c>
      <c r="E155" s="2">
        <f>'ESTIMATE (INPUT)'!E155</f>
        <v/>
      </c>
      <c r="F155" s="2" t="n"/>
      <c r="G155" s="91" t="n"/>
      <c r="H155" s="91" t="n"/>
      <c r="I155" s="91" t="n"/>
      <c r="J155" s="100" t="n"/>
      <c r="K155" s="100" t="n"/>
      <c r="L155" s="100" t="n"/>
      <c r="M155" s="100" t="n"/>
      <c r="N155" s="1">
        <f>'ESTIMATE (INPUT)'!M155</f>
        <v/>
      </c>
      <c r="O155" s="1">
        <f>'ESTIMATE (INPUT)'!N155</f>
        <v/>
      </c>
      <c r="P155" s="1">
        <f>'ESTIMATE (INPUT)'!O155</f>
        <v/>
      </c>
      <c r="Q155" s="1">
        <f>'ESTIMATE (INPUT)'!P155</f>
        <v/>
      </c>
      <c r="R155" s="1">
        <f>'ESTIMATE (INPUT)'!Q155</f>
        <v/>
      </c>
      <c r="S155" s="1">
        <f>'ESTIMATE (INPUT)'!R155</f>
        <v/>
      </c>
      <c r="T155" s="1">
        <f>'ESTIMATE (INPUT)'!S155</f>
        <v/>
      </c>
      <c r="U155" s="12">
        <f>SUM(O155:T155)</f>
        <v/>
      </c>
    </row>
    <row r="156" hidden="1" ht="12" customHeight="1" s="195">
      <c r="A156" s="124">
        <f>'ESTIMATE (INPUT)'!A156</f>
        <v/>
      </c>
      <c r="B156" s="194">
        <f>'ESTIMATE (INPUT)'!B156</f>
        <v/>
      </c>
      <c r="D156" s="1">
        <f>'ESTIMATE (INPUT)'!D156</f>
        <v/>
      </c>
      <c r="E156" s="2">
        <f>'ESTIMATE (INPUT)'!E156</f>
        <v/>
      </c>
      <c r="F156" s="2" t="n"/>
      <c r="G156" s="91" t="n"/>
      <c r="H156" s="91" t="n"/>
      <c r="I156" s="91" t="n"/>
      <c r="J156" s="100" t="n"/>
      <c r="K156" s="100" t="n"/>
      <c r="L156" s="100" t="n"/>
      <c r="M156" s="100" t="n"/>
      <c r="N156" s="1">
        <f>'ESTIMATE (INPUT)'!M156</f>
        <v/>
      </c>
      <c r="O156" s="1">
        <f>'ESTIMATE (INPUT)'!N156</f>
        <v/>
      </c>
      <c r="P156" s="1">
        <f>'ESTIMATE (INPUT)'!O156</f>
        <v/>
      </c>
      <c r="Q156" s="1">
        <f>'ESTIMATE (INPUT)'!P156</f>
        <v/>
      </c>
      <c r="R156" s="1">
        <f>'ESTIMATE (INPUT)'!Q156</f>
        <v/>
      </c>
      <c r="S156" s="1">
        <f>'ESTIMATE (INPUT)'!R156</f>
        <v/>
      </c>
      <c r="T156" s="1">
        <f>'ESTIMATE (INPUT)'!S156</f>
        <v/>
      </c>
      <c r="U156" s="12">
        <f>SUM(O156:T156)</f>
        <v/>
      </c>
    </row>
    <row r="157" hidden="1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91" t="n"/>
      <c r="N157" s="1" t="n"/>
      <c r="O157" s="1" t="n"/>
      <c r="P157" s="7" t="n"/>
      <c r="Q157" s="1" t="n"/>
      <c r="R157" s="1" t="n"/>
      <c r="S157" s="7" t="n"/>
      <c r="T157" s="7" t="n"/>
      <c r="U157" s="12" t="n"/>
    </row>
    <row r="158" hidden="1" ht="12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4" t="n"/>
      <c r="N158" s="93">
        <f>SUM(N150:N157)</f>
        <v/>
      </c>
      <c r="O158" s="93">
        <f>SUM(O150:O157)</f>
        <v/>
      </c>
      <c r="P158" s="95">
        <f>SUM(P150:P157)</f>
        <v/>
      </c>
      <c r="Q158" s="93">
        <f>SUM(Q150:Q157)</f>
        <v/>
      </c>
      <c r="R158" s="93">
        <f>SUM(R150:R157)</f>
        <v/>
      </c>
      <c r="S158" s="95">
        <f>SUM(S150:S157)</f>
        <v/>
      </c>
      <c r="T158" s="95">
        <f>SUM(T150:T157)</f>
        <v/>
      </c>
      <c r="U158" s="98">
        <f>SUM(U150:U157)</f>
        <v/>
      </c>
    </row>
    <row r="159" hidden="1" ht="10" customHeight="1" s="195">
      <c r="A159" s="154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91">
        <f>U167</f>
        <v/>
      </c>
      <c r="N159" s="1" t="n"/>
      <c r="O159" s="1" t="n"/>
      <c r="P159" s="7" t="n"/>
      <c r="Q159" s="1" t="n"/>
      <c r="R159" s="1" t="n"/>
      <c r="S159" s="7" t="n"/>
      <c r="T159" s="7" t="n"/>
      <c r="U159" s="155" t="n"/>
    </row>
    <row r="160" hidden="1" ht="12" customHeight="1" s="195">
      <c r="A160" s="124">
        <f>'ESTIMATE (INPUT)'!A160</f>
        <v/>
      </c>
      <c r="B160" s="194">
        <f>'ESTIMATE (INPUT)'!B160</f>
        <v/>
      </c>
      <c r="D160" s="1">
        <f>'ESTIMATE (INPUT)'!D160</f>
        <v/>
      </c>
      <c r="E160" s="2">
        <f>'ESTIMATE (INPUT)'!E160</f>
        <v/>
      </c>
      <c r="F160" s="2" t="n"/>
      <c r="G160" s="91" t="n"/>
      <c r="H160" s="91" t="n"/>
      <c r="I160" s="91" t="n"/>
      <c r="J160" s="100" t="n"/>
      <c r="K160" s="100" t="n"/>
      <c r="L160" s="100" t="n"/>
      <c r="M160" s="100" t="n"/>
      <c r="N160" s="1">
        <f>'ESTIMATE (INPUT)'!M160</f>
        <v/>
      </c>
      <c r="O160" s="1">
        <f>'ESTIMATE (INPUT)'!N160</f>
        <v/>
      </c>
      <c r="P160" s="1">
        <f>'ESTIMATE (INPUT)'!O160</f>
        <v/>
      </c>
      <c r="Q160" s="1">
        <f>'ESTIMATE (INPUT)'!P160</f>
        <v/>
      </c>
      <c r="R160" s="1">
        <f>'ESTIMATE (INPUT)'!Q160</f>
        <v/>
      </c>
      <c r="S160" s="1">
        <f>'ESTIMATE (INPUT)'!R160</f>
        <v/>
      </c>
      <c r="T160" s="1">
        <f>'ESTIMATE (INPUT)'!S160</f>
        <v/>
      </c>
      <c r="U160" s="12">
        <f>SUM(O160:T160)</f>
        <v/>
      </c>
    </row>
    <row r="161" hidden="1" ht="12" customHeight="1" s="195">
      <c r="A161" s="124">
        <f>'ESTIMATE (INPUT)'!A161</f>
        <v/>
      </c>
      <c r="B161" s="194">
        <f>'ESTIMATE (INPUT)'!B161</f>
        <v/>
      </c>
      <c r="D161" s="1">
        <f>'ESTIMATE (INPUT)'!D161</f>
        <v/>
      </c>
      <c r="E161" s="2">
        <f>'ESTIMATE (INPUT)'!E161</f>
        <v/>
      </c>
      <c r="F161" s="2" t="n"/>
      <c r="G161" s="91" t="n"/>
      <c r="H161" s="91" t="n"/>
      <c r="I161" s="91" t="n"/>
      <c r="J161" s="100" t="n"/>
      <c r="K161" s="100" t="n"/>
      <c r="L161" s="100" t="n"/>
      <c r="M161" s="100" t="n"/>
      <c r="N161" s="1">
        <f>'ESTIMATE (INPUT)'!M161</f>
        <v/>
      </c>
      <c r="O161" s="1">
        <f>'ESTIMATE (INPUT)'!N161</f>
        <v/>
      </c>
      <c r="P161" s="1">
        <f>'ESTIMATE (INPUT)'!O161</f>
        <v/>
      </c>
      <c r="Q161" s="1">
        <f>'ESTIMATE (INPUT)'!P161</f>
        <v/>
      </c>
      <c r="R161" s="1">
        <f>'ESTIMATE (INPUT)'!Q161</f>
        <v/>
      </c>
      <c r="S161" s="1">
        <f>'ESTIMATE (INPUT)'!R161</f>
        <v/>
      </c>
      <c r="T161" s="1">
        <f>'ESTIMATE (INPUT)'!S161</f>
        <v/>
      </c>
      <c r="U161" s="12">
        <f>SUM(O161:T161)</f>
        <v/>
      </c>
    </row>
    <row r="162" hidden="1" ht="12" customHeight="1" s="195">
      <c r="A162" s="124">
        <f>'ESTIMATE (INPUT)'!A162</f>
        <v/>
      </c>
      <c r="B162" s="194">
        <f>'ESTIMATE (INPUT)'!B162</f>
        <v/>
      </c>
      <c r="D162" s="1">
        <f>'ESTIMATE (INPUT)'!D162</f>
        <v/>
      </c>
      <c r="E162" s="2">
        <f>'ESTIMATE (INPUT)'!E162</f>
        <v/>
      </c>
      <c r="F162" s="2" t="n"/>
      <c r="G162" s="91" t="n"/>
      <c r="H162" s="91" t="n"/>
      <c r="I162" s="91" t="n"/>
      <c r="J162" s="100" t="n"/>
      <c r="K162" s="100" t="n"/>
      <c r="L162" s="100" t="n"/>
      <c r="M162" s="100" t="n"/>
      <c r="N162" s="1">
        <f>'ESTIMATE (INPUT)'!M162</f>
        <v/>
      </c>
      <c r="O162" s="1">
        <f>'ESTIMATE (INPUT)'!N162</f>
        <v/>
      </c>
      <c r="P162" s="1">
        <f>'ESTIMATE (INPUT)'!O162</f>
        <v/>
      </c>
      <c r="Q162" s="1">
        <f>'ESTIMATE (INPUT)'!P162</f>
        <v/>
      </c>
      <c r="R162" s="1">
        <f>'ESTIMATE (INPUT)'!Q162</f>
        <v/>
      </c>
      <c r="S162" s="1">
        <f>'ESTIMATE (INPUT)'!R162</f>
        <v/>
      </c>
      <c r="T162" s="1">
        <f>'ESTIMATE (INPUT)'!S162</f>
        <v/>
      </c>
      <c r="U162" s="12">
        <f>SUM(O162:T162)</f>
        <v/>
      </c>
    </row>
    <row r="163" hidden="1" ht="12" customHeight="1" s="195">
      <c r="A163" s="124">
        <f>'ESTIMATE (INPUT)'!A163</f>
        <v/>
      </c>
      <c r="B163" s="194">
        <f>'ESTIMATE (INPUT)'!B163</f>
        <v/>
      </c>
      <c r="D163" s="1">
        <f>'ESTIMATE (INPUT)'!D163</f>
        <v/>
      </c>
      <c r="E163" s="2">
        <f>'ESTIMATE (INPUT)'!E163</f>
        <v/>
      </c>
      <c r="F163" s="2" t="n"/>
      <c r="G163" s="91" t="n"/>
      <c r="H163" s="91" t="n"/>
      <c r="I163" s="91" t="n"/>
      <c r="J163" s="100" t="n"/>
      <c r="K163" s="100" t="n"/>
      <c r="L163" s="100" t="n"/>
      <c r="M163" s="100" t="n"/>
      <c r="N163" s="1">
        <f>'ESTIMATE (INPUT)'!M163</f>
        <v/>
      </c>
      <c r="O163" s="1">
        <f>'ESTIMATE (INPUT)'!N163</f>
        <v/>
      </c>
      <c r="P163" s="1">
        <f>'ESTIMATE (INPUT)'!O163</f>
        <v/>
      </c>
      <c r="Q163" s="1">
        <f>'ESTIMATE (INPUT)'!P163</f>
        <v/>
      </c>
      <c r="R163" s="1">
        <f>'ESTIMATE (INPUT)'!Q163</f>
        <v/>
      </c>
      <c r="S163" s="1">
        <f>'ESTIMATE (INPUT)'!R163</f>
        <v/>
      </c>
      <c r="T163" s="1">
        <f>'ESTIMATE (INPUT)'!S163</f>
        <v/>
      </c>
      <c r="U163" s="12">
        <f>SUM(O163:T163)</f>
        <v/>
      </c>
    </row>
    <row r="164" hidden="1" ht="12" customHeight="1" s="195">
      <c r="A164" s="124">
        <f>'ESTIMATE (INPUT)'!A164</f>
        <v/>
      </c>
      <c r="B164" s="194">
        <f>'ESTIMATE (INPUT)'!B164</f>
        <v/>
      </c>
      <c r="D164" s="1">
        <f>'ESTIMATE (INPUT)'!D164</f>
        <v/>
      </c>
      <c r="E164" s="2">
        <f>'ESTIMATE (INPUT)'!E164</f>
        <v/>
      </c>
      <c r="F164" s="2" t="n"/>
      <c r="G164" s="91" t="n"/>
      <c r="H164" s="91" t="n"/>
      <c r="I164" s="91" t="n"/>
      <c r="J164" s="100" t="n"/>
      <c r="K164" s="100" t="n"/>
      <c r="L164" s="100" t="n"/>
      <c r="M164" s="100" t="n"/>
      <c r="N164" s="1">
        <f>'ESTIMATE (INPUT)'!M164</f>
        <v/>
      </c>
      <c r="O164" s="1">
        <f>'ESTIMATE (INPUT)'!N164</f>
        <v/>
      </c>
      <c r="P164" s="1">
        <f>'ESTIMATE (INPUT)'!O164</f>
        <v/>
      </c>
      <c r="Q164" s="1">
        <f>'ESTIMATE (INPUT)'!P164</f>
        <v/>
      </c>
      <c r="R164" s="1">
        <f>'ESTIMATE (INPUT)'!Q164</f>
        <v/>
      </c>
      <c r="S164" s="1">
        <f>'ESTIMATE (INPUT)'!R164</f>
        <v/>
      </c>
      <c r="T164" s="1">
        <f>'ESTIMATE (INPUT)'!S164</f>
        <v/>
      </c>
      <c r="U164" s="12">
        <f>SUM(O164:T164)</f>
        <v/>
      </c>
    </row>
    <row r="165" hidden="1" ht="12" customHeight="1" s="195">
      <c r="A165" s="124">
        <f>'ESTIMATE (INPUT)'!A165</f>
        <v/>
      </c>
      <c r="B165" s="194">
        <f>'ESTIMATE (INPUT)'!B165</f>
        <v/>
      </c>
      <c r="D165" s="1">
        <f>'ESTIMATE (INPUT)'!D165</f>
        <v/>
      </c>
      <c r="E165" s="2">
        <f>'ESTIMATE (INPUT)'!E165</f>
        <v/>
      </c>
      <c r="F165" s="2" t="n"/>
      <c r="G165" s="91" t="n"/>
      <c r="H165" s="91" t="n"/>
      <c r="I165" s="91" t="n"/>
      <c r="J165" s="100" t="n"/>
      <c r="K165" s="100" t="n"/>
      <c r="L165" s="100" t="n"/>
      <c r="M165" s="100" t="n"/>
      <c r="N165" s="1">
        <f>'ESTIMATE (INPUT)'!M165</f>
        <v/>
      </c>
      <c r="O165" s="1">
        <f>'ESTIMATE (INPUT)'!N165</f>
        <v/>
      </c>
      <c r="P165" s="1">
        <f>'ESTIMATE (INPUT)'!O165</f>
        <v/>
      </c>
      <c r="Q165" s="1">
        <f>'ESTIMATE (INPUT)'!P165</f>
        <v/>
      </c>
      <c r="R165" s="1">
        <f>'ESTIMATE (INPUT)'!Q165</f>
        <v/>
      </c>
      <c r="S165" s="1">
        <f>'ESTIMATE (INPUT)'!R165</f>
        <v/>
      </c>
      <c r="T165" s="1">
        <f>'ESTIMATE (INPUT)'!S165</f>
        <v/>
      </c>
      <c r="U165" s="12">
        <f>SUM(O165:T165)</f>
        <v/>
      </c>
    </row>
    <row r="166" hidden="1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91" t="n"/>
      <c r="N166" s="1" t="n"/>
      <c r="O166" s="1" t="n"/>
      <c r="P166" s="7" t="n"/>
      <c r="Q166" s="1" t="n"/>
      <c r="R166" s="1" t="n"/>
      <c r="S166" s="7" t="n"/>
      <c r="T166" s="7" t="n"/>
      <c r="U166" s="12" t="n"/>
    </row>
    <row r="167" hidden="1" ht="12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4" t="n"/>
      <c r="N167" s="93">
        <f>SUM(N159:N166)</f>
        <v/>
      </c>
      <c r="O167" s="93">
        <f>SUM(O159:O166)</f>
        <v/>
      </c>
      <c r="P167" s="95">
        <f>SUM(P159:P166)</f>
        <v/>
      </c>
      <c r="Q167" s="93">
        <f>SUM(Q159:Q166)</f>
        <v/>
      </c>
      <c r="R167" s="93">
        <f>SUM(R159:R166)</f>
        <v/>
      </c>
      <c r="S167" s="95">
        <f>SUM(S159:S166)</f>
        <v/>
      </c>
      <c r="T167" s="95">
        <f>SUM(T159:T166)</f>
        <v/>
      </c>
      <c r="U167" s="98">
        <f>SUM(U159:U166)</f>
        <v/>
      </c>
    </row>
    <row r="168" ht="10" customHeight="1" s="195">
      <c r="A168" s="154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91">
        <f>U176</f>
        <v/>
      </c>
      <c r="N168" s="1" t="n"/>
      <c r="O168" s="1" t="n"/>
      <c r="P168" s="7" t="n"/>
      <c r="Q168" s="1" t="n"/>
      <c r="R168" s="1" t="n"/>
      <c r="S168" s="7" t="n"/>
      <c r="T168" s="7" t="n"/>
      <c r="U168" s="155" t="n"/>
    </row>
    <row r="169" hidden="1" ht="12" customHeight="1" s="195">
      <c r="A169" s="124">
        <f>'ESTIMATE (INPUT)'!A169</f>
        <v/>
      </c>
      <c r="B169" s="194">
        <f>'ESTIMATE (INPUT)'!B169</f>
        <v/>
      </c>
      <c r="D169" s="1">
        <f>'ESTIMATE (INPUT)'!D169</f>
        <v/>
      </c>
      <c r="E169" s="2">
        <f>'ESTIMATE (INPUT)'!E169</f>
        <v/>
      </c>
      <c r="F169" s="2" t="n"/>
      <c r="G169" s="91" t="n"/>
      <c r="H169" s="91" t="n"/>
      <c r="I169" s="91" t="n"/>
      <c r="J169" s="100" t="n"/>
      <c r="K169" s="100" t="n"/>
      <c r="L169" s="100" t="n"/>
      <c r="M169" s="100" t="n"/>
      <c r="N169" s="1">
        <f>'ESTIMATE (INPUT)'!M169</f>
        <v/>
      </c>
      <c r="O169" s="1">
        <f>'ESTIMATE (INPUT)'!N169</f>
        <v/>
      </c>
      <c r="P169" s="1">
        <f>'ESTIMATE (INPUT)'!O169</f>
        <v/>
      </c>
      <c r="Q169" s="1">
        <f>'ESTIMATE (INPUT)'!P169</f>
        <v/>
      </c>
      <c r="R169" s="1">
        <f>'ESTIMATE (INPUT)'!Q169</f>
        <v/>
      </c>
      <c r="S169" s="1">
        <f>'ESTIMATE (INPUT)'!R169</f>
        <v/>
      </c>
      <c r="T169" s="1">
        <f>'ESTIMATE (INPUT)'!S169</f>
        <v/>
      </c>
      <c r="U169" s="12">
        <f>SUM(O169:T169)</f>
        <v/>
      </c>
    </row>
    <row r="170" ht="12" customHeight="1" s="195">
      <c r="A170" s="124">
        <f>'ESTIMATE (INPUT)'!A170</f>
        <v/>
      </c>
      <c r="B170" s="194">
        <f>'ESTIMATE (INPUT)'!B170</f>
        <v/>
      </c>
      <c r="D170" s="1">
        <f>'ESTIMATE (INPUT)'!D170</f>
        <v/>
      </c>
      <c r="E170" s="2">
        <f>'ESTIMATE (INPUT)'!E170</f>
        <v/>
      </c>
      <c r="F170" s="2" t="n"/>
      <c r="G170" s="91" t="n"/>
      <c r="H170" s="91" t="n"/>
      <c r="I170" s="91" t="n"/>
      <c r="J170" s="100" t="n"/>
      <c r="K170" s="100" t="n"/>
      <c r="L170" s="100" t="n"/>
      <c r="M170" s="100" t="n"/>
      <c r="N170" s="1">
        <f>'ESTIMATE (INPUT)'!M170</f>
        <v/>
      </c>
      <c r="O170" s="1">
        <f>'ESTIMATE (INPUT)'!N170</f>
        <v/>
      </c>
      <c r="P170" s="1">
        <f>'ESTIMATE (INPUT)'!O170</f>
        <v/>
      </c>
      <c r="Q170" s="1">
        <f>'ESTIMATE (INPUT)'!P170</f>
        <v/>
      </c>
      <c r="R170" s="1">
        <f>'ESTIMATE (INPUT)'!Q170</f>
        <v/>
      </c>
      <c r="S170" s="1">
        <f>'ESTIMATE (INPUT)'!R170</f>
        <v/>
      </c>
      <c r="T170" s="1">
        <f>'ESTIMATE (INPUT)'!S170</f>
        <v/>
      </c>
      <c r="U170" s="12">
        <f>SUM(O170:T170)</f>
        <v/>
      </c>
    </row>
    <row r="171" hidden="1" ht="12" customHeight="1" s="195">
      <c r="A171" s="124">
        <f>'ESTIMATE (INPUT)'!A171</f>
        <v/>
      </c>
      <c r="B171" s="194">
        <f>'ESTIMATE (INPUT)'!B171</f>
        <v/>
      </c>
      <c r="D171" s="1">
        <f>'ESTIMATE (INPUT)'!D171</f>
        <v/>
      </c>
      <c r="E171" s="2">
        <f>'ESTIMATE (INPUT)'!E171</f>
        <v/>
      </c>
      <c r="F171" s="2" t="n"/>
      <c r="G171" s="91" t="n"/>
      <c r="H171" s="91" t="n"/>
      <c r="I171" s="91" t="n"/>
      <c r="J171" s="100" t="n"/>
      <c r="K171" s="100" t="n"/>
      <c r="L171" s="100" t="n"/>
      <c r="M171" s="100" t="n"/>
      <c r="N171" s="1">
        <f>'ESTIMATE (INPUT)'!M171</f>
        <v/>
      </c>
      <c r="O171" s="1">
        <f>'ESTIMATE (INPUT)'!N171</f>
        <v/>
      </c>
      <c r="P171" s="1">
        <f>'ESTIMATE (INPUT)'!O171</f>
        <v/>
      </c>
      <c r="Q171" s="1">
        <f>'ESTIMATE (INPUT)'!P171</f>
        <v/>
      </c>
      <c r="R171" s="1">
        <f>'ESTIMATE (INPUT)'!Q171</f>
        <v/>
      </c>
      <c r="S171" s="1">
        <f>'ESTIMATE (INPUT)'!R171</f>
        <v/>
      </c>
      <c r="T171" s="1">
        <f>'ESTIMATE (INPUT)'!S171</f>
        <v/>
      </c>
      <c r="U171" s="12">
        <f>SUM(O171:T171)</f>
        <v/>
      </c>
    </row>
    <row r="172" hidden="1" ht="12" customHeight="1" s="195">
      <c r="A172" s="124">
        <f>'ESTIMATE (INPUT)'!A172</f>
        <v/>
      </c>
      <c r="B172" s="194">
        <f>'ESTIMATE (INPUT)'!B172</f>
        <v/>
      </c>
      <c r="D172" s="1">
        <f>'ESTIMATE (INPUT)'!D172</f>
        <v/>
      </c>
      <c r="E172" s="2">
        <f>'ESTIMATE (INPUT)'!E172</f>
        <v/>
      </c>
      <c r="F172" s="2" t="n"/>
      <c r="G172" s="91" t="n"/>
      <c r="H172" s="91" t="n"/>
      <c r="I172" s="91" t="n"/>
      <c r="J172" s="100" t="n"/>
      <c r="K172" s="100" t="n"/>
      <c r="L172" s="100" t="n"/>
      <c r="M172" s="100" t="n"/>
      <c r="N172" s="1">
        <f>'ESTIMATE (INPUT)'!M172</f>
        <v/>
      </c>
      <c r="O172" s="1">
        <f>'ESTIMATE (INPUT)'!N172</f>
        <v/>
      </c>
      <c r="P172" s="1">
        <f>'ESTIMATE (INPUT)'!O172</f>
        <v/>
      </c>
      <c r="Q172" s="1">
        <f>'ESTIMATE (INPUT)'!P172</f>
        <v/>
      </c>
      <c r="R172" s="1">
        <f>'ESTIMATE (INPUT)'!Q172</f>
        <v/>
      </c>
      <c r="S172" s="1">
        <f>'ESTIMATE (INPUT)'!R172</f>
        <v/>
      </c>
      <c r="T172" s="1">
        <f>'ESTIMATE (INPUT)'!S172</f>
        <v/>
      </c>
      <c r="U172" s="12">
        <f>SUM(O172:T172)</f>
        <v/>
      </c>
    </row>
    <row r="173" ht="12" customHeight="1" s="195">
      <c r="A173" s="124">
        <f>'ESTIMATE (INPUT)'!A173</f>
        <v/>
      </c>
      <c r="B173" s="194">
        <f>'ESTIMATE (INPUT)'!B173</f>
        <v/>
      </c>
      <c r="D173" s="1">
        <f>'ESTIMATE (INPUT)'!D173</f>
        <v/>
      </c>
      <c r="E173" s="2">
        <f>'ESTIMATE (INPUT)'!E173</f>
        <v/>
      </c>
      <c r="F173" s="2" t="n"/>
      <c r="G173" s="91" t="n"/>
      <c r="H173" s="91" t="n"/>
      <c r="I173" s="91" t="n"/>
      <c r="J173" s="100" t="n"/>
      <c r="K173" s="100" t="n"/>
      <c r="L173" s="100" t="n"/>
      <c r="M173" s="100" t="n"/>
      <c r="N173" s="1">
        <f>'ESTIMATE (INPUT)'!M173</f>
        <v/>
      </c>
      <c r="O173" s="1">
        <f>'ESTIMATE (INPUT)'!N173</f>
        <v/>
      </c>
      <c r="P173" s="1">
        <f>'ESTIMATE (INPUT)'!O173</f>
        <v/>
      </c>
      <c r="Q173" s="1">
        <f>'ESTIMATE (INPUT)'!P173</f>
        <v/>
      </c>
      <c r="R173" s="1">
        <f>'ESTIMATE (INPUT)'!Q173</f>
        <v/>
      </c>
      <c r="S173" s="1">
        <f>'ESTIMATE (INPUT)'!R173</f>
        <v/>
      </c>
      <c r="T173" s="1">
        <f>'ESTIMATE (INPUT)'!S173</f>
        <v/>
      </c>
      <c r="U173" s="12">
        <f>SUM(O173:T173)</f>
        <v/>
      </c>
    </row>
    <row r="174" hidden="1" ht="12" customHeight="1" s="195">
      <c r="A174" s="124">
        <f>'ESTIMATE (INPUT)'!A174</f>
        <v/>
      </c>
      <c r="B174" s="194">
        <f>'ESTIMATE (INPUT)'!B174</f>
        <v/>
      </c>
      <c r="D174" s="1">
        <f>'ESTIMATE (INPUT)'!D174</f>
        <v/>
      </c>
      <c r="E174" s="2">
        <f>'ESTIMATE (INPUT)'!E174</f>
        <v/>
      </c>
      <c r="F174" s="2" t="n"/>
      <c r="G174" s="91" t="n"/>
      <c r="H174" s="91" t="n"/>
      <c r="I174" s="91" t="n"/>
      <c r="J174" s="100" t="n"/>
      <c r="K174" s="100" t="n"/>
      <c r="L174" s="100" t="n"/>
      <c r="M174" s="100" t="n"/>
      <c r="N174" s="1">
        <f>'ESTIMATE (INPUT)'!M174</f>
        <v/>
      </c>
      <c r="O174" s="1">
        <f>'ESTIMATE (INPUT)'!N174</f>
        <v/>
      </c>
      <c r="P174" s="1">
        <f>'ESTIMATE (INPUT)'!O174</f>
        <v/>
      </c>
      <c r="Q174" s="1">
        <f>'ESTIMATE (INPUT)'!P174</f>
        <v/>
      </c>
      <c r="R174" s="1">
        <f>'ESTIMATE (INPUT)'!Q174</f>
        <v/>
      </c>
      <c r="S174" s="1">
        <f>'ESTIMATE (INPUT)'!R174</f>
        <v/>
      </c>
      <c r="T174" s="1">
        <f>'ESTIMATE (INPUT)'!S174</f>
        <v/>
      </c>
      <c r="U174" s="12">
        <f>SUM(O174:T174)</f>
        <v/>
      </c>
    </row>
    <row r="175" hidden="1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91" t="n"/>
      <c r="N175" s="1" t="n"/>
      <c r="O175" s="1" t="n"/>
      <c r="P175" s="7" t="n"/>
      <c r="Q175" s="1" t="n"/>
      <c r="R175" s="1" t="n"/>
      <c r="S175" s="7" t="n"/>
      <c r="T175" s="7" t="n"/>
      <c r="U175" s="12" t="n"/>
    </row>
    <row r="176" ht="12" customHeight="1" s="195">
      <c r="A176" s="125" t="n">
        <v>10000</v>
      </c>
      <c r="B176" s="93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4" t="n"/>
      <c r="N176" s="93">
        <f>SUM(N168:N175)</f>
        <v/>
      </c>
      <c r="O176" s="93">
        <f>SUM(O168:O175)</f>
        <v/>
      </c>
      <c r="P176" s="95">
        <f>SUM(P168:P175)</f>
        <v/>
      </c>
      <c r="Q176" s="93">
        <f>SUM(Q168:Q175)</f>
        <v/>
      </c>
      <c r="R176" s="93">
        <f>SUM(R168:R175)</f>
        <v/>
      </c>
      <c r="S176" s="95">
        <f>SUM(S168:S175)</f>
        <v/>
      </c>
      <c r="T176" s="95">
        <f>SUM(T168:T175)</f>
        <v/>
      </c>
      <c r="U176" s="98">
        <f>SUM(U168:U175)</f>
        <v/>
      </c>
    </row>
    <row r="177" hidden="1" ht="10" customHeight="1" s="195">
      <c r="A177" s="154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91">
        <f>U184</f>
        <v/>
      </c>
      <c r="N177" s="1" t="n"/>
      <c r="O177" s="1" t="n"/>
      <c r="P177" s="7" t="n"/>
      <c r="Q177" s="1" t="n"/>
      <c r="R177" s="1" t="n"/>
      <c r="S177" s="7" t="n"/>
      <c r="T177" s="7" t="n"/>
      <c r="U177" s="155" t="n"/>
    </row>
    <row r="178" hidden="1" ht="12" customHeight="1" s="195">
      <c r="A178" s="124">
        <f>'ESTIMATE (INPUT)'!A178</f>
        <v/>
      </c>
      <c r="B178" s="194">
        <f>'ESTIMATE (INPUT)'!B178</f>
        <v/>
      </c>
      <c r="D178" s="1">
        <f>'ESTIMATE (INPUT)'!D178</f>
        <v/>
      </c>
      <c r="E178" s="2">
        <f>'ESTIMATE (INPUT)'!E178</f>
        <v/>
      </c>
      <c r="F178" s="2" t="n"/>
      <c r="G178" s="91" t="n"/>
      <c r="H178" s="91" t="n"/>
      <c r="I178" s="91" t="n"/>
      <c r="J178" s="100" t="n"/>
      <c r="K178" s="100" t="n"/>
      <c r="L178" s="100" t="n"/>
      <c r="M178" s="100" t="n"/>
      <c r="N178" s="1">
        <f>'ESTIMATE (INPUT)'!M178</f>
        <v/>
      </c>
      <c r="O178" s="1">
        <f>'ESTIMATE (INPUT)'!N178</f>
        <v/>
      </c>
      <c r="P178" s="1">
        <f>'ESTIMATE (INPUT)'!O178</f>
        <v/>
      </c>
      <c r="Q178" s="1">
        <f>'ESTIMATE (INPUT)'!P178</f>
        <v/>
      </c>
      <c r="R178" s="1">
        <f>'ESTIMATE (INPUT)'!Q178</f>
        <v/>
      </c>
      <c r="S178" s="1">
        <f>'ESTIMATE (INPUT)'!R178</f>
        <v/>
      </c>
      <c r="T178" s="1">
        <f>'ESTIMATE (INPUT)'!S178</f>
        <v/>
      </c>
      <c r="U178" s="12">
        <f>SUM(O178:T178)</f>
        <v/>
      </c>
    </row>
    <row r="179" hidden="1" ht="12" customHeight="1" s="195">
      <c r="A179" s="124">
        <f>'ESTIMATE (INPUT)'!A179</f>
        <v/>
      </c>
      <c r="B179" s="194">
        <f>'ESTIMATE (INPUT)'!B179</f>
        <v/>
      </c>
      <c r="D179" s="1">
        <f>'ESTIMATE (INPUT)'!D179</f>
        <v/>
      </c>
      <c r="E179" s="2">
        <f>'ESTIMATE (INPUT)'!E179</f>
        <v/>
      </c>
      <c r="F179" s="2" t="n"/>
      <c r="G179" s="91" t="n"/>
      <c r="H179" s="91" t="n"/>
      <c r="I179" s="91" t="n"/>
      <c r="J179" s="100" t="n"/>
      <c r="K179" s="100" t="n"/>
      <c r="L179" s="100" t="n"/>
      <c r="M179" s="100" t="n"/>
      <c r="N179" s="1">
        <f>'ESTIMATE (INPUT)'!M179</f>
        <v/>
      </c>
      <c r="O179" s="1">
        <f>'ESTIMATE (INPUT)'!N179</f>
        <v/>
      </c>
      <c r="P179" s="1">
        <f>'ESTIMATE (INPUT)'!O179</f>
        <v/>
      </c>
      <c r="Q179" s="1">
        <f>'ESTIMATE (INPUT)'!P179</f>
        <v/>
      </c>
      <c r="R179" s="1">
        <f>'ESTIMATE (INPUT)'!Q179</f>
        <v/>
      </c>
      <c r="S179" s="1">
        <f>'ESTIMATE (INPUT)'!R179</f>
        <v/>
      </c>
      <c r="T179" s="1">
        <f>'ESTIMATE (INPUT)'!S179</f>
        <v/>
      </c>
      <c r="U179" s="12">
        <f>SUM(O179:T179)</f>
        <v/>
      </c>
    </row>
    <row r="180" hidden="1" ht="12" customHeight="1" s="195">
      <c r="A180" s="124">
        <f>'ESTIMATE (INPUT)'!A180</f>
        <v/>
      </c>
      <c r="B180" s="194">
        <f>'ESTIMATE (INPUT)'!B180</f>
        <v/>
      </c>
      <c r="D180" s="1">
        <f>'ESTIMATE (INPUT)'!D180</f>
        <v/>
      </c>
      <c r="E180" s="2">
        <f>'ESTIMATE (INPUT)'!E180</f>
        <v/>
      </c>
      <c r="F180" s="2" t="n"/>
      <c r="G180" s="91" t="n"/>
      <c r="H180" s="91" t="n"/>
      <c r="I180" s="91" t="n"/>
      <c r="J180" s="100" t="n"/>
      <c r="K180" s="100" t="n"/>
      <c r="L180" s="100" t="n"/>
      <c r="M180" s="100" t="n"/>
      <c r="N180" s="1">
        <f>'ESTIMATE (INPUT)'!M180</f>
        <v/>
      </c>
      <c r="O180" s="1">
        <f>'ESTIMATE (INPUT)'!N180</f>
        <v/>
      </c>
      <c r="P180" s="1">
        <f>'ESTIMATE (INPUT)'!O180</f>
        <v/>
      </c>
      <c r="Q180" s="1">
        <f>'ESTIMATE (INPUT)'!P180</f>
        <v/>
      </c>
      <c r="R180" s="1">
        <f>'ESTIMATE (INPUT)'!Q180</f>
        <v/>
      </c>
      <c r="S180" s="1">
        <f>'ESTIMATE (INPUT)'!R180</f>
        <v/>
      </c>
      <c r="T180" s="1">
        <f>'ESTIMATE (INPUT)'!S180</f>
        <v/>
      </c>
      <c r="U180" s="12">
        <f>SUM(O180:T180)</f>
        <v/>
      </c>
    </row>
    <row r="181" hidden="1" ht="12" customHeight="1" s="195">
      <c r="A181" s="124">
        <f>'ESTIMATE (INPUT)'!A181</f>
        <v/>
      </c>
      <c r="B181" s="194">
        <f>'ESTIMATE (INPUT)'!B181</f>
        <v/>
      </c>
      <c r="D181" s="1">
        <f>'ESTIMATE (INPUT)'!D181</f>
        <v/>
      </c>
      <c r="E181" s="2">
        <f>'ESTIMATE (INPUT)'!E181</f>
        <v/>
      </c>
      <c r="F181" s="2" t="n"/>
      <c r="G181" s="91" t="n"/>
      <c r="H181" s="91" t="n"/>
      <c r="I181" s="91" t="n"/>
      <c r="J181" s="100" t="n"/>
      <c r="K181" s="100" t="n"/>
      <c r="L181" s="100" t="n"/>
      <c r="M181" s="100" t="n"/>
      <c r="N181" s="1">
        <f>'ESTIMATE (INPUT)'!M181</f>
        <v/>
      </c>
      <c r="O181" s="1">
        <f>'ESTIMATE (INPUT)'!N181</f>
        <v/>
      </c>
      <c r="P181" s="1">
        <f>'ESTIMATE (INPUT)'!O181</f>
        <v/>
      </c>
      <c r="Q181" s="1">
        <f>'ESTIMATE (INPUT)'!P181</f>
        <v/>
      </c>
      <c r="R181" s="1">
        <f>'ESTIMATE (INPUT)'!Q181</f>
        <v/>
      </c>
      <c r="S181" s="1">
        <f>'ESTIMATE (INPUT)'!R181</f>
        <v/>
      </c>
      <c r="T181" s="1">
        <f>'ESTIMATE (INPUT)'!S181</f>
        <v/>
      </c>
      <c r="U181" s="12">
        <f>SUM(O181:T181)</f>
        <v/>
      </c>
    </row>
    <row r="182" hidden="1" ht="12" customHeight="1" s="195">
      <c r="A182" s="124">
        <f>'ESTIMATE (INPUT)'!A182</f>
        <v/>
      </c>
      <c r="B182" s="194">
        <f>'ESTIMATE (INPUT)'!B182</f>
        <v/>
      </c>
      <c r="D182" s="1">
        <f>'ESTIMATE (INPUT)'!D182</f>
        <v/>
      </c>
      <c r="E182" s="2">
        <f>'ESTIMATE (INPUT)'!E182</f>
        <v/>
      </c>
      <c r="F182" s="2" t="n"/>
      <c r="G182" s="91" t="n"/>
      <c r="H182" s="91" t="n"/>
      <c r="I182" s="91" t="n"/>
      <c r="J182" s="100" t="n"/>
      <c r="K182" s="100" t="n"/>
      <c r="L182" s="100" t="n"/>
      <c r="M182" s="100" t="n"/>
      <c r="N182" s="1">
        <f>'ESTIMATE (INPUT)'!M182</f>
        <v/>
      </c>
      <c r="O182" s="1">
        <f>'ESTIMATE (INPUT)'!N182</f>
        <v/>
      </c>
      <c r="P182" s="1">
        <f>'ESTIMATE (INPUT)'!O182</f>
        <v/>
      </c>
      <c r="Q182" s="1">
        <f>'ESTIMATE (INPUT)'!P182</f>
        <v/>
      </c>
      <c r="R182" s="1">
        <f>'ESTIMATE (INPUT)'!Q182</f>
        <v/>
      </c>
      <c r="S182" s="1">
        <f>'ESTIMATE (INPUT)'!R182</f>
        <v/>
      </c>
      <c r="T182" s="1">
        <f>'ESTIMATE (INPUT)'!S182</f>
        <v/>
      </c>
      <c r="U182" s="12">
        <f>SUM(O182:T182)</f>
        <v/>
      </c>
    </row>
    <row r="183" hidden="1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91" t="n"/>
      <c r="N183" s="1" t="n"/>
      <c r="O183" s="1" t="n"/>
      <c r="P183" s="7" t="n"/>
      <c r="Q183" s="1" t="n"/>
      <c r="R183" s="1" t="n"/>
      <c r="S183" s="7" t="n"/>
      <c r="T183" s="7" t="n"/>
      <c r="U183" s="12" t="n"/>
    </row>
    <row r="184" hidden="1" ht="12" customHeight="1" s="195">
      <c r="A184" s="125" t="n">
        <v>11000</v>
      </c>
      <c r="B184" s="93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4" t="n"/>
      <c r="N184" s="93">
        <f>SUM(N177:N183)</f>
        <v/>
      </c>
      <c r="O184" s="93">
        <f>SUM(O177:O183)</f>
        <v/>
      </c>
      <c r="P184" s="95">
        <f>SUM(P177:P183)</f>
        <v/>
      </c>
      <c r="Q184" s="93">
        <f>SUM(Q177:Q183)</f>
        <v/>
      </c>
      <c r="R184" s="93">
        <f>SUM(R177:R183)</f>
        <v/>
      </c>
      <c r="S184" s="95">
        <f>SUM(S177:S183)</f>
        <v/>
      </c>
      <c r="T184" s="95">
        <f>SUM(T177:T183)</f>
        <v/>
      </c>
      <c r="U184" s="98">
        <f>SUM(U177:U183)</f>
        <v/>
      </c>
    </row>
    <row r="185" ht="10" customHeight="1" s="195">
      <c r="A185" s="154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91">
        <f>U192</f>
        <v/>
      </c>
      <c r="N185" s="1" t="n"/>
      <c r="O185" s="1" t="n"/>
      <c r="P185" s="7" t="n"/>
      <c r="Q185" s="1" t="n"/>
      <c r="R185" s="1" t="n"/>
      <c r="S185" s="7" t="n"/>
      <c r="T185" s="7" t="n"/>
      <c r="U185" s="155" t="n"/>
    </row>
    <row r="186" hidden="1" ht="12" customHeight="1" s="195">
      <c r="A186" s="124">
        <f>'ESTIMATE (INPUT)'!A186</f>
        <v/>
      </c>
      <c r="B186" s="194">
        <f>'ESTIMATE (INPUT)'!B186</f>
        <v/>
      </c>
      <c r="D186" s="1">
        <f>'ESTIMATE (INPUT)'!D186</f>
        <v/>
      </c>
      <c r="E186" s="2">
        <f>'ESTIMATE (INPUT)'!E186</f>
        <v/>
      </c>
      <c r="F186" s="2" t="n"/>
      <c r="G186" s="91" t="n"/>
      <c r="H186" s="91" t="n"/>
      <c r="I186" s="91" t="n"/>
      <c r="J186" s="100" t="n"/>
      <c r="K186" s="100" t="n"/>
      <c r="L186" s="100" t="n"/>
      <c r="M186" s="100" t="n"/>
      <c r="N186" s="1">
        <f>'ESTIMATE (INPUT)'!M186</f>
        <v/>
      </c>
      <c r="O186" s="1">
        <f>'ESTIMATE (INPUT)'!N186</f>
        <v/>
      </c>
      <c r="P186" s="1">
        <f>'ESTIMATE (INPUT)'!O186</f>
        <v/>
      </c>
      <c r="Q186" s="1">
        <f>'ESTIMATE (INPUT)'!P186</f>
        <v/>
      </c>
      <c r="R186" s="1">
        <f>'ESTIMATE (INPUT)'!Q186</f>
        <v/>
      </c>
      <c r="S186" s="1">
        <f>'ESTIMATE (INPUT)'!R186</f>
        <v/>
      </c>
      <c r="T186" s="1">
        <f>'ESTIMATE (INPUT)'!S186</f>
        <v/>
      </c>
      <c r="U186" s="12">
        <f>SUM(O186:T186)</f>
        <v/>
      </c>
    </row>
    <row r="187" hidden="1" ht="12" customHeight="1" s="195">
      <c r="A187" s="124">
        <f>'ESTIMATE (INPUT)'!A187</f>
        <v/>
      </c>
      <c r="B187" s="194">
        <f>'ESTIMATE (INPUT)'!B187</f>
        <v/>
      </c>
      <c r="D187" s="1">
        <f>'ESTIMATE (INPUT)'!D187</f>
        <v/>
      </c>
      <c r="E187" s="2">
        <f>'ESTIMATE (INPUT)'!E187</f>
        <v/>
      </c>
      <c r="F187" s="2" t="n"/>
      <c r="G187" s="91" t="n"/>
      <c r="H187" s="91" t="n"/>
      <c r="I187" s="91" t="n"/>
      <c r="J187" s="100" t="n"/>
      <c r="K187" s="100" t="n"/>
      <c r="L187" s="100" t="n"/>
      <c r="M187" s="100" t="n"/>
      <c r="N187" s="1">
        <f>'ESTIMATE (INPUT)'!M187</f>
        <v/>
      </c>
      <c r="O187" s="1">
        <f>'ESTIMATE (INPUT)'!N187</f>
        <v/>
      </c>
      <c r="P187" s="1">
        <f>'ESTIMATE (INPUT)'!O187</f>
        <v/>
      </c>
      <c r="Q187" s="1">
        <f>'ESTIMATE (INPUT)'!P187</f>
        <v/>
      </c>
      <c r="R187" s="1">
        <f>'ESTIMATE (INPUT)'!Q187</f>
        <v/>
      </c>
      <c r="S187" s="1">
        <f>'ESTIMATE (INPUT)'!R187</f>
        <v/>
      </c>
      <c r="T187" s="1">
        <f>'ESTIMATE (INPUT)'!S187</f>
        <v/>
      </c>
      <c r="U187" s="12">
        <f>SUM(O187:T187)</f>
        <v/>
      </c>
    </row>
    <row r="188" hidden="1" ht="12" customHeight="1" s="195">
      <c r="A188" s="124">
        <f>'ESTIMATE (INPUT)'!A188</f>
        <v/>
      </c>
      <c r="B188" s="194">
        <f>'ESTIMATE (INPUT)'!B188</f>
        <v/>
      </c>
      <c r="D188" s="1">
        <f>'ESTIMATE (INPUT)'!D188</f>
        <v/>
      </c>
      <c r="E188" s="2">
        <f>'ESTIMATE (INPUT)'!E188</f>
        <v/>
      </c>
      <c r="F188" s="2" t="n"/>
      <c r="G188" s="91" t="n"/>
      <c r="H188" s="91" t="n"/>
      <c r="I188" s="91" t="n"/>
      <c r="J188" s="100" t="n"/>
      <c r="K188" s="100" t="n"/>
      <c r="L188" s="100" t="n"/>
      <c r="M188" s="100" t="n"/>
      <c r="N188" s="1">
        <f>'ESTIMATE (INPUT)'!M188</f>
        <v/>
      </c>
      <c r="O188" s="1">
        <f>'ESTIMATE (INPUT)'!N188</f>
        <v/>
      </c>
      <c r="P188" s="1">
        <f>'ESTIMATE (INPUT)'!O188</f>
        <v/>
      </c>
      <c r="Q188" s="1">
        <f>'ESTIMATE (INPUT)'!P188</f>
        <v/>
      </c>
      <c r="R188" s="1">
        <f>'ESTIMATE (INPUT)'!Q188</f>
        <v/>
      </c>
      <c r="S188" s="1">
        <f>'ESTIMATE (INPUT)'!R188</f>
        <v/>
      </c>
      <c r="T188" s="1">
        <f>'ESTIMATE (INPUT)'!S188</f>
        <v/>
      </c>
      <c r="U188" s="12">
        <f>SUM(O188:T188)</f>
        <v/>
      </c>
    </row>
    <row r="189" hidden="1" ht="12" customHeight="1" s="195">
      <c r="A189" s="124">
        <f>'ESTIMATE (INPUT)'!A189</f>
        <v/>
      </c>
      <c r="B189" s="194">
        <f>'ESTIMATE (INPUT)'!B189</f>
        <v/>
      </c>
      <c r="D189" s="1">
        <f>'ESTIMATE (INPUT)'!D189</f>
        <v/>
      </c>
      <c r="E189" s="2">
        <f>'ESTIMATE (INPUT)'!E189</f>
        <v/>
      </c>
      <c r="F189" s="2" t="n"/>
      <c r="G189" s="91" t="n"/>
      <c r="H189" s="91" t="n"/>
      <c r="I189" s="91" t="n"/>
      <c r="J189" s="100" t="n"/>
      <c r="K189" s="100" t="n"/>
      <c r="L189" s="100" t="n"/>
      <c r="M189" s="100" t="n"/>
      <c r="N189" s="1">
        <f>'ESTIMATE (INPUT)'!M189</f>
        <v/>
      </c>
      <c r="O189" s="1">
        <f>'ESTIMATE (INPUT)'!N189</f>
        <v/>
      </c>
      <c r="P189" s="1">
        <f>'ESTIMATE (INPUT)'!O189</f>
        <v/>
      </c>
      <c r="Q189" s="1">
        <f>'ESTIMATE (INPUT)'!P189</f>
        <v/>
      </c>
      <c r="R189" s="1">
        <f>'ESTIMATE (INPUT)'!Q189</f>
        <v/>
      </c>
      <c r="S189" s="1">
        <f>'ESTIMATE (INPUT)'!R189</f>
        <v/>
      </c>
      <c r="T189" s="1">
        <f>'ESTIMATE (INPUT)'!S189</f>
        <v/>
      </c>
      <c r="U189" s="12">
        <f>SUM(O189:T189)</f>
        <v/>
      </c>
    </row>
    <row r="190" ht="12" customHeight="1" s="195">
      <c r="A190" s="124">
        <f>'ESTIMATE (INPUT)'!A190</f>
        <v/>
      </c>
      <c r="B190" s="194">
        <f>'ESTIMATE (INPUT)'!B190</f>
        <v/>
      </c>
      <c r="D190" s="1">
        <f>'ESTIMATE (INPUT)'!D190</f>
        <v/>
      </c>
      <c r="E190" s="2">
        <f>'ESTIMATE (INPUT)'!E190</f>
        <v/>
      </c>
      <c r="F190" s="2" t="n"/>
      <c r="G190" s="91" t="n"/>
      <c r="H190" s="91" t="n"/>
      <c r="I190" s="91" t="n"/>
      <c r="J190" s="100" t="n"/>
      <c r="K190" s="100" t="n"/>
      <c r="L190" s="100" t="n"/>
      <c r="M190" s="100" t="n"/>
      <c r="N190" s="1">
        <f>'ESTIMATE (INPUT)'!M190</f>
        <v/>
      </c>
      <c r="O190" s="1">
        <f>'ESTIMATE (INPUT)'!N190</f>
        <v/>
      </c>
      <c r="P190" s="1">
        <f>'ESTIMATE (INPUT)'!O190</f>
        <v/>
      </c>
      <c r="Q190" s="1">
        <f>'ESTIMATE (INPUT)'!P190</f>
        <v/>
      </c>
      <c r="R190" s="1">
        <f>'ESTIMATE (INPUT)'!Q190</f>
        <v/>
      </c>
      <c r="S190" s="1">
        <f>'ESTIMATE (INPUT)'!R190</f>
        <v/>
      </c>
      <c r="T190" s="1">
        <f>'ESTIMATE (INPUT)'!S190</f>
        <v/>
      </c>
      <c r="U190" s="12">
        <f>SUM(O190:T190)</f>
        <v/>
      </c>
    </row>
    <row r="191" hidden="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91" t="n"/>
      <c r="N191" s="1" t="n"/>
      <c r="O191" s="1" t="n"/>
      <c r="P191" s="7" t="n"/>
      <c r="Q191" s="1" t="n"/>
      <c r="R191" s="1" t="n"/>
      <c r="S191" s="7" t="n"/>
      <c r="T191" s="7" t="n"/>
      <c r="U191" s="12" t="n"/>
    </row>
    <row r="192" ht="12" customHeight="1" s="195">
      <c r="A192" s="125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4" t="n"/>
      <c r="N192" s="93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98">
        <f>SUM(U185:U191)</f>
        <v/>
      </c>
    </row>
    <row r="193" ht="10" customHeight="1" s="195">
      <c r="A193" s="154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91">
        <f>U200</f>
        <v/>
      </c>
      <c r="N193" s="1" t="n"/>
      <c r="O193" s="1" t="n"/>
      <c r="P193" s="7" t="n"/>
      <c r="Q193" s="1" t="n"/>
      <c r="R193" s="1" t="n"/>
      <c r="S193" s="7" t="n"/>
      <c r="T193" s="7" t="n"/>
      <c r="U193" s="155" t="n"/>
    </row>
    <row r="194" ht="12" customHeight="1" s="195">
      <c r="A194" s="124">
        <f>'ESTIMATE (INPUT)'!A194</f>
        <v/>
      </c>
      <c r="B194" s="194">
        <f>'ESTIMATE (INPUT)'!B194</f>
        <v/>
      </c>
      <c r="D194" s="1">
        <f>'ESTIMATE (INPUT)'!D194</f>
        <v/>
      </c>
      <c r="E194" s="2">
        <f>'ESTIMATE (INPUT)'!E194</f>
        <v/>
      </c>
      <c r="F194" s="2" t="n"/>
      <c r="G194" s="91" t="n"/>
      <c r="H194" s="91" t="n"/>
      <c r="I194" s="91" t="n"/>
      <c r="J194" s="100" t="n"/>
      <c r="K194" s="100" t="n"/>
      <c r="L194" s="100" t="n"/>
      <c r="M194" s="100" t="n"/>
      <c r="N194" s="1">
        <f>'ESTIMATE (INPUT)'!M194</f>
        <v/>
      </c>
      <c r="O194" s="1">
        <f>'ESTIMATE (INPUT)'!N194</f>
        <v/>
      </c>
      <c r="P194" s="1">
        <f>'ESTIMATE (INPUT)'!O194</f>
        <v/>
      </c>
      <c r="Q194" s="1">
        <f>'ESTIMATE (INPUT)'!P194</f>
        <v/>
      </c>
      <c r="R194" s="1">
        <f>'ESTIMATE (INPUT)'!Q194</f>
        <v/>
      </c>
      <c r="S194" s="1">
        <f>'ESTIMATE (INPUT)'!R194</f>
        <v/>
      </c>
      <c r="T194" s="1">
        <f>'ESTIMATE (INPUT)'!S194</f>
        <v/>
      </c>
      <c r="U194" s="12">
        <f>SUM(O194:T194)</f>
        <v/>
      </c>
    </row>
    <row r="195" hidden="1" ht="12" customHeight="1" s="195">
      <c r="A195" s="124">
        <f>'ESTIMATE (INPUT)'!A195</f>
        <v/>
      </c>
      <c r="B195" s="194">
        <f>'ESTIMATE (INPUT)'!B195</f>
        <v/>
      </c>
      <c r="D195" s="1">
        <f>'ESTIMATE (INPUT)'!D195</f>
        <v/>
      </c>
      <c r="E195" s="2">
        <f>'ESTIMATE (INPUT)'!E195</f>
        <v/>
      </c>
      <c r="F195" s="2" t="n"/>
      <c r="G195" s="91" t="n"/>
      <c r="H195" s="91" t="n"/>
      <c r="I195" s="91" t="n"/>
      <c r="J195" s="100" t="n"/>
      <c r="K195" s="100" t="n"/>
      <c r="L195" s="100" t="n"/>
      <c r="M195" s="100" t="n"/>
      <c r="N195" s="1">
        <f>'ESTIMATE (INPUT)'!M195</f>
        <v/>
      </c>
      <c r="O195" s="1">
        <f>'ESTIMATE (INPUT)'!N195</f>
        <v/>
      </c>
      <c r="P195" s="1">
        <f>'ESTIMATE (INPUT)'!O195</f>
        <v/>
      </c>
      <c r="Q195" s="1">
        <f>'ESTIMATE (INPUT)'!P195</f>
        <v/>
      </c>
      <c r="R195" s="1">
        <f>'ESTIMATE (INPUT)'!Q195</f>
        <v/>
      </c>
      <c r="S195" s="1">
        <f>'ESTIMATE (INPUT)'!R195</f>
        <v/>
      </c>
      <c r="T195" s="1">
        <f>'ESTIMATE (INPUT)'!S195</f>
        <v/>
      </c>
      <c r="U195" s="12">
        <f>SUM(O195:T195)</f>
        <v/>
      </c>
    </row>
    <row r="196" hidden="1" ht="12" customHeight="1" s="195">
      <c r="A196" s="124">
        <f>'ESTIMATE (INPUT)'!A196</f>
        <v/>
      </c>
      <c r="B196" s="194">
        <f>'ESTIMATE (INPUT)'!B196</f>
        <v/>
      </c>
      <c r="D196" s="1">
        <f>'ESTIMATE (INPUT)'!D196</f>
        <v/>
      </c>
      <c r="E196" s="2">
        <f>'ESTIMATE (INPUT)'!E196</f>
        <v/>
      </c>
      <c r="F196" s="2" t="n"/>
      <c r="G196" s="91" t="n"/>
      <c r="H196" s="91" t="n"/>
      <c r="I196" s="91" t="n"/>
      <c r="J196" s="100" t="n"/>
      <c r="K196" s="100" t="n"/>
      <c r="L196" s="100" t="n"/>
      <c r="M196" s="100" t="n"/>
      <c r="N196" s="1">
        <f>'ESTIMATE (INPUT)'!M196</f>
        <v/>
      </c>
      <c r="O196" s="1">
        <f>'ESTIMATE (INPUT)'!N196</f>
        <v/>
      </c>
      <c r="P196" s="1">
        <f>'ESTIMATE (INPUT)'!O196</f>
        <v/>
      </c>
      <c r="Q196" s="1">
        <f>'ESTIMATE (INPUT)'!P196</f>
        <v/>
      </c>
      <c r="R196" s="1">
        <f>'ESTIMATE (INPUT)'!Q196</f>
        <v/>
      </c>
      <c r="S196" s="1">
        <f>'ESTIMATE (INPUT)'!R196</f>
        <v/>
      </c>
      <c r="T196" s="1">
        <f>'ESTIMATE (INPUT)'!S196</f>
        <v/>
      </c>
      <c r="U196" s="12">
        <f>SUM(O196:T196)</f>
        <v/>
      </c>
    </row>
    <row r="197" hidden="1" ht="12" customHeight="1" s="195">
      <c r="A197" s="124">
        <f>'ESTIMATE (INPUT)'!A197</f>
        <v/>
      </c>
      <c r="B197" s="194">
        <f>'ESTIMATE (INPUT)'!B197</f>
        <v/>
      </c>
      <c r="D197" s="1">
        <f>'ESTIMATE (INPUT)'!D197</f>
        <v/>
      </c>
      <c r="E197" s="2">
        <f>'ESTIMATE (INPUT)'!E197</f>
        <v/>
      </c>
      <c r="F197" s="2" t="n"/>
      <c r="G197" s="91" t="n"/>
      <c r="H197" s="91" t="n"/>
      <c r="I197" s="91" t="n"/>
      <c r="J197" s="100" t="n"/>
      <c r="K197" s="100" t="n"/>
      <c r="L197" s="100" t="n"/>
      <c r="M197" s="100" t="n"/>
      <c r="N197" s="1">
        <f>'ESTIMATE (INPUT)'!M197</f>
        <v/>
      </c>
      <c r="O197" s="1">
        <f>'ESTIMATE (INPUT)'!N197</f>
        <v/>
      </c>
      <c r="P197" s="1">
        <f>'ESTIMATE (INPUT)'!O197</f>
        <v/>
      </c>
      <c r="Q197" s="1">
        <f>'ESTIMATE (INPUT)'!P197</f>
        <v/>
      </c>
      <c r="R197" s="1">
        <f>'ESTIMATE (INPUT)'!Q197</f>
        <v/>
      </c>
      <c r="S197" s="1">
        <f>'ESTIMATE (INPUT)'!R197</f>
        <v/>
      </c>
      <c r="T197" s="1">
        <f>'ESTIMATE (INPUT)'!S197</f>
        <v/>
      </c>
      <c r="U197" s="12">
        <f>SUM(O197:T197)</f>
        <v/>
      </c>
    </row>
    <row r="198" hidden="1" ht="12" customHeight="1" s="195">
      <c r="A198" s="124">
        <f>'ESTIMATE (INPUT)'!A198</f>
        <v/>
      </c>
      <c r="B198" s="194">
        <f>'ESTIMATE (INPUT)'!B198</f>
        <v/>
      </c>
      <c r="D198" s="1">
        <f>'ESTIMATE (INPUT)'!D198</f>
        <v/>
      </c>
      <c r="E198" s="2">
        <f>'ESTIMATE (INPUT)'!E198</f>
        <v/>
      </c>
      <c r="F198" s="2" t="n"/>
      <c r="G198" s="91" t="n"/>
      <c r="H198" s="91" t="n"/>
      <c r="I198" s="91" t="n"/>
      <c r="J198" s="100" t="n"/>
      <c r="K198" s="100" t="n"/>
      <c r="L198" s="100" t="n"/>
      <c r="M198" s="100" t="n"/>
      <c r="N198" s="1">
        <f>'ESTIMATE (INPUT)'!M198</f>
        <v/>
      </c>
      <c r="O198" s="1">
        <f>'ESTIMATE (INPUT)'!N198</f>
        <v/>
      </c>
      <c r="P198" s="1">
        <f>'ESTIMATE (INPUT)'!O198</f>
        <v/>
      </c>
      <c r="Q198" s="1">
        <f>'ESTIMATE (INPUT)'!P198</f>
        <v/>
      </c>
      <c r="R198" s="1">
        <f>'ESTIMATE (INPUT)'!Q198</f>
        <v/>
      </c>
      <c r="S198" s="1">
        <f>'ESTIMATE (INPUT)'!R198</f>
        <v/>
      </c>
      <c r="T198" s="1">
        <f>'ESTIMATE (INPUT)'!S198</f>
        <v/>
      </c>
      <c r="U198" s="12">
        <f>SUM(O198:T198)</f>
        <v/>
      </c>
    </row>
    <row r="199" hidden="1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91" t="n"/>
      <c r="N199" s="1" t="n"/>
      <c r="O199" s="1" t="n"/>
      <c r="P199" s="7" t="n"/>
      <c r="Q199" s="1" t="n"/>
      <c r="R199" s="1" t="n"/>
      <c r="S199" s="7" t="n"/>
      <c r="T199" s="7" t="n"/>
      <c r="U199" s="12" t="n"/>
    </row>
    <row r="200" ht="12" customHeight="1" s="195">
      <c r="A200" s="125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4" t="n"/>
      <c r="N200" s="93">
        <f>SUM(N193:N199)</f>
        <v/>
      </c>
      <c r="O200" s="93">
        <f>SUM(O193:O199)</f>
        <v/>
      </c>
      <c r="P200" s="95">
        <f>SUM(P193:P199)</f>
        <v/>
      </c>
      <c r="Q200" s="93">
        <f>SUM(Q193:Q199)</f>
        <v/>
      </c>
      <c r="R200" s="93">
        <f>SUM(R193:R199)</f>
        <v/>
      </c>
      <c r="S200" s="95">
        <f>SUM(S193:S199)</f>
        <v/>
      </c>
      <c r="T200" s="95">
        <f>SUM(T193:T199)</f>
        <v/>
      </c>
      <c r="U200" s="98">
        <f>SUM(U193:U199)</f>
        <v/>
      </c>
    </row>
    <row r="201" ht="10" customHeight="1" s="195">
      <c r="A201" s="154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91">
        <f>U208</f>
        <v/>
      </c>
      <c r="N201" s="1" t="n"/>
      <c r="O201" s="1" t="n"/>
      <c r="P201" s="7" t="n"/>
      <c r="Q201" s="1" t="n"/>
      <c r="R201" s="1" t="n"/>
      <c r="S201" s="7" t="n"/>
      <c r="T201" s="7" t="n"/>
      <c r="U201" s="155" t="n"/>
    </row>
    <row r="202" ht="12" customHeight="1" s="195">
      <c r="A202" s="124">
        <f>'ESTIMATE (INPUT)'!A202</f>
        <v/>
      </c>
      <c r="B202" s="194">
        <f>'ESTIMATE (INPUT)'!B202</f>
        <v/>
      </c>
      <c r="D202" s="1">
        <f>'ESTIMATE (INPUT)'!D202</f>
        <v/>
      </c>
      <c r="E202" s="2">
        <f>'ESTIMATE (INPUT)'!E202</f>
        <v/>
      </c>
      <c r="F202" s="2" t="n"/>
      <c r="G202" s="91" t="n"/>
      <c r="H202" s="91" t="n"/>
      <c r="I202" s="91" t="n"/>
      <c r="J202" s="100" t="n"/>
      <c r="K202" s="100" t="n"/>
      <c r="L202" s="100" t="n"/>
      <c r="M202" s="100" t="n"/>
      <c r="N202" s="1">
        <f>'ESTIMATE (INPUT)'!M202</f>
        <v/>
      </c>
      <c r="O202" s="1">
        <f>'ESTIMATE (INPUT)'!N202</f>
        <v/>
      </c>
      <c r="P202" s="1">
        <f>'ESTIMATE (INPUT)'!O202</f>
        <v/>
      </c>
      <c r="Q202" s="1">
        <f>'ESTIMATE (INPUT)'!P202</f>
        <v/>
      </c>
      <c r="R202" s="1">
        <f>'ESTIMATE (INPUT)'!Q202</f>
        <v/>
      </c>
      <c r="S202" s="1">
        <f>'ESTIMATE (INPUT)'!R202</f>
        <v/>
      </c>
      <c r="T202" s="1">
        <f>'ESTIMATE (INPUT)'!S202</f>
        <v/>
      </c>
      <c r="U202" s="12">
        <f>SUM(O202:T202)</f>
        <v/>
      </c>
    </row>
    <row r="203" hidden="1" ht="12" customHeight="1" s="195">
      <c r="A203" s="124">
        <f>'ESTIMATE (INPUT)'!A203</f>
        <v/>
      </c>
      <c r="B203" s="194">
        <f>'ESTIMATE (INPUT)'!B203</f>
        <v/>
      </c>
      <c r="D203" s="1">
        <f>'ESTIMATE (INPUT)'!D203</f>
        <v/>
      </c>
      <c r="E203" s="2">
        <f>'ESTIMATE (INPUT)'!E203</f>
        <v/>
      </c>
      <c r="F203" s="2" t="n"/>
      <c r="G203" s="91" t="n"/>
      <c r="H203" s="91" t="n"/>
      <c r="I203" s="91" t="n"/>
      <c r="J203" s="100" t="n"/>
      <c r="K203" s="100" t="n"/>
      <c r="L203" s="100" t="n"/>
      <c r="M203" s="100" t="n"/>
      <c r="N203" s="1">
        <f>'ESTIMATE (INPUT)'!M203</f>
        <v/>
      </c>
      <c r="O203" s="1">
        <f>'ESTIMATE (INPUT)'!N203</f>
        <v/>
      </c>
      <c r="P203" s="1">
        <f>'ESTIMATE (INPUT)'!O203</f>
        <v/>
      </c>
      <c r="Q203" s="1">
        <f>'ESTIMATE (INPUT)'!P203</f>
        <v/>
      </c>
      <c r="R203" s="1">
        <f>'ESTIMATE (INPUT)'!Q203</f>
        <v/>
      </c>
      <c r="S203" s="1">
        <f>'ESTIMATE (INPUT)'!R203</f>
        <v/>
      </c>
      <c r="T203" s="1">
        <f>'ESTIMATE (INPUT)'!S203</f>
        <v/>
      </c>
      <c r="U203" s="12">
        <f>SUM(O203:T203)</f>
        <v/>
      </c>
    </row>
    <row r="204" hidden="1" ht="12" customHeight="1" s="195">
      <c r="A204" s="124">
        <f>'ESTIMATE (INPUT)'!A204</f>
        <v/>
      </c>
      <c r="B204" s="194">
        <f>'ESTIMATE (INPUT)'!B204</f>
        <v/>
      </c>
      <c r="D204" s="1">
        <f>'ESTIMATE (INPUT)'!D204</f>
        <v/>
      </c>
      <c r="E204" s="2">
        <f>'ESTIMATE (INPUT)'!E204</f>
        <v/>
      </c>
      <c r="F204" s="2" t="n"/>
      <c r="G204" s="91" t="n"/>
      <c r="H204" s="91" t="n"/>
      <c r="I204" s="91" t="n"/>
      <c r="J204" s="100" t="n"/>
      <c r="K204" s="100" t="n"/>
      <c r="L204" s="100" t="n"/>
      <c r="M204" s="100" t="n"/>
      <c r="N204" s="1">
        <f>'ESTIMATE (INPUT)'!M204</f>
        <v/>
      </c>
      <c r="O204" s="1">
        <f>'ESTIMATE (INPUT)'!N204</f>
        <v/>
      </c>
      <c r="P204" s="1">
        <f>'ESTIMATE (INPUT)'!O204</f>
        <v/>
      </c>
      <c r="Q204" s="1">
        <f>'ESTIMATE (INPUT)'!P204</f>
        <v/>
      </c>
      <c r="R204" s="1">
        <f>'ESTIMATE (INPUT)'!Q204</f>
        <v/>
      </c>
      <c r="S204" s="1">
        <f>'ESTIMATE (INPUT)'!R204</f>
        <v/>
      </c>
      <c r="T204" s="1">
        <f>'ESTIMATE (INPUT)'!S204</f>
        <v/>
      </c>
      <c r="U204" s="12">
        <f>SUM(O204:T204)</f>
        <v/>
      </c>
    </row>
    <row r="205" hidden="1" ht="12" customHeight="1" s="195">
      <c r="A205" s="124">
        <f>'ESTIMATE (INPUT)'!A205</f>
        <v/>
      </c>
      <c r="B205" s="194">
        <f>'ESTIMATE (INPUT)'!B205</f>
        <v/>
      </c>
      <c r="D205" s="1">
        <f>'ESTIMATE (INPUT)'!D205</f>
        <v/>
      </c>
      <c r="E205" s="2">
        <f>'ESTIMATE (INPUT)'!E205</f>
        <v/>
      </c>
      <c r="F205" s="2" t="n"/>
      <c r="G205" s="91" t="n"/>
      <c r="H205" s="91" t="n"/>
      <c r="I205" s="91" t="n"/>
      <c r="J205" s="100" t="n"/>
      <c r="K205" s="100" t="n"/>
      <c r="L205" s="100" t="n"/>
      <c r="M205" s="100" t="n"/>
      <c r="N205" s="1">
        <f>'ESTIMATE (INPUT)'!M205</f>
        <v/>
      </c>
      <c r="O205" s="1">
        <f>'ESTIMATE (INPUT)'!N205</f>
        <v/>
      </c>
      <c r="P205" s="1">
        <f>'ESTIMATE (INPUT)'!O205</f>
        <v/>
      </c>
      <c r="Q205" s="1">
        <f>'ESTIMATE (INPUT)'!P205</f>
        <v/>
      </c>
      <c r="R205" s="1">
        <f>'ESTIMATE (INPUT)'!Q205</f>
        <v/>
      </c>
      <c r="S205" s="1">
        <f>'ESTIMATE (INPUT)'!R205</f>
        <v/>
      </c>
      <c r="T205" s="1">
        <f>'ESTIMATE (INPUT)'!S205</f>
        <v/>
      </c>
      <c r="U205" s="12">
        <f>SUM(O205:T205)</f>
        <v/>
      </c>
    </row>
    <row r="206" hidden="1" ht="12" customHeight="1" s="195">
      <c r="A206" s="124">
        <f>'ESTIMATE (INPUT)'!A206</f>
        <v/>
      </c>
      <c r="B206" s="194">
        <f>'ESTIMATE (INPUT)'!B206</f>
        <v/>
      </c>
      <c r="D206" s="1">
        <f>'ESTIMATE (INPUT)'!D206</f>
        <v/>
      </c>
      <c r="E206" s="2">
        <f>'ESTIMATE (INPUT)'!E206</f>
        <v/>
      </c>
      <c r="F206" s="2" t="n"/>
      <c r="G206" s="91" t="n"/>
      <c r="H206" s="91" t="n"/>
      <c r="I206" s="91" t="n"/>
      <c r="J206" s="100" t="n"/>
      <c r="K206" s="100" t="n"/>
      <c r="L206" s="100" t="n"/>
      <c r="M206" s="100" t="n"/>
      <c r="N206" s="1">
        <f>'ESTIMATE (INPUT)'!M206</f>
        <v/>
      </c>
      <c r="O206" s="1">
        <f>'ESTIMATE (INPUT)'!N206</f>
        <v/>
      </c>
      <c r="P206" s="1">
        <f>'ESTIMATE (INPUT)'!O206</f>
        <v/>
      </c>
      <c r="Q206" s="1">
        <f>'ESTIMATE (INPUT)'!P206</f>
        <v/>
      </c>
      <c r="R206" s="1">
        <f>'ESTIMATE (INPUT)'!Q206</f>
        <v/>
      </c>
      <c r="S206" s="1">
        <f>'ESTIMATE (INPUT)'!R206</f>
        <v/>
      </c>
      <c r="T206" s="1">
        <f>'ESTIMATE (INPUT)'!S206</f>
        <v/>
      </c>
      <c r="U206" s="12">
        <f>SUM(O206:T206)</f>
        <v/>
      </c>
    </row>
    <row r="207" hidden="1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91" t="n"/>
      <c r="N207" s="1" t="n"/>
      <c r="O207" s="1" t="n"/>
      <c r="P207" s="7" t="n"/>
      <c r="Q207" s="1" t="n"/>
      <c r="R207" s="1" t="n"/>
      <c r="S207" s="7" t="n"/>
      <c r="T207" s="7" t="n"/>
      <c r="U207" s="12" t="n"/>
    </row>
    <row r="208" ht="12" customHeight="1" s="195">
      <c r="A208" s="125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4" t="n"/>
      <c r="N208" s="93">
        <f>SUM(N201:N207)</f>
        <v/>
      </c>
      <c r="O208" s="93">
        <f>SUM(O201:O207)</f>
        <v/>
      </c>
      <c r="P208" s="95">
        <f>SUM(P201:P207)</f>
        <v/>
      </c>
      <c r="Q208" s="93">
        <f>SUM(Q201:Q207)</f>
        <v/>
      </c>
      <c r="R208" s="93">
        <f>SUM(R201:R207)</f>
        <v/>
      </c>
      <c r="S208" s="95">
        <f>SUM(S201:S207)</f>
        <v/>
      </c>
      <c r="T208" s="95">
        <f>SUM(T201:T207)</f>
        <v/>
      </c>
      <c r="U208" s="98">
        <f>SUM(U201:U207)</f>
        <v/>
      </c>
    </row>
    <row r="209" ht="10" customHeight="1" s="195">
      <c r="A209" s="154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91">
        <f>U216</f>
        <v/>
      </c>
      <c r="N209" s="1" t="n"/>
      <c r="O209" s="1" t="n"/>
      <c r="P209" s="7" t="n"/>
      <c r="Q209" s="1" t="n"/>
      <c r="R209" s="1" t="n"/>
      <c r="S209" s="7" t="n"/>
      <c r="T209" s="7" t="n"/>
      <c r="U209" s="155" t="n"/>
    </row>
    <row r="210" ht="12" customHeight="1" s="195">
      <c r="A210" s="124">
        <f>'ESTIMATE (INPUT)'!A210</f>
        <v/>
      </c>
      <c r="B210" s="194">
        <f>'ESTIMATE (INPUT)'!B210</f>
        <v/>
      </c>
      <c r="D210" s="1">
        <f>'ESTIMATE (INPUT)'!D210</f>
        <v/>
      </c>
      <c r="E210" s="2">
        <f>'ESTIMATE (INPUT)'!E210</f>
        <v/>
      </c>
      <c r="F210" s="2" t="n"/>
      <c r="G210" s="91" t="n"/>
      <c r="H210" s="91" t="n"/>
      <c r="I210" s="91" t="n"/>
      <c r="J210" s="100" t="n"/>
      <c r="K210" s="100" t="n"/>
      <c r="L210" s="100" t="n"/>
      <c r="M210" s="100" t="n"/>
      <c r="N210" s="1">
        <f>'ESTIMATE (INPUT)'!M210</f>
        <v/>
      </c>
      <c r="O210" s="1">
        <f>'ESTIMATE (INPUT)'!N210</f>
        <v/>
      </c>
      <c r="P210" s="1">
        <f>'ESTIMATE (INPUT)'!O210</f>
        <v/>
      </c>
      <c r="Q210" s="1">
        <f>'ESTIMATE (INPUT)'!P210</f>
        <v/>
      </c>
      <c r="R210" s="1">
        <f>'ESTIMATE (INPUT)'!Q210</f>
        <v/>
      </c>
      <c r="S210" s="1">
        <f>'ESTIMATE (INPUT)'!R210</f>
        <v/>
      </c>
      <c r="T210" s="1">
        <f>'ESTIMATE (INPUT)'!S210</f>
        <v/>
      </c>
      <c r="U210" s="12">
        <f>SUM(O210:T210)</f>
        <v/>
      </c>
    </row>
    <row r="211" hidden="1" ht="12" customHeight="1" s="195">
      <c r="A211" s="124">
        <f>'ESTIMATE (INPUT)'!A211</f>
        <v/>
      </c>
      <c r="B211" s="194">
        <f>'ESTIMATE (INPUT)'!B211</f>
        <v/>
      </c>
      <c r="D211" s="1">
        <f>'ESTIMATE (INPUT)'!D211</f>
        <v/>
      </c>
      <c r="E211" s="2">
        <f>'ESTIMATE (INPUT)'!E211</f>
        <v/>
      </c>
      <c r="F211" s="2" t="n"/>
      <c r="G211" s="91" t="n"/>
      <c r="H211" s="91" t="n"/>
      <c r="I211" s="91" t="n"/>
      <c r="J211" s="100" t="n"/>
      <c r="K211" s="100" t="n"/>
      <c r="L211" s="100" t="n"/>
      <c r="M211" s="100" t="n"/>
      <c r="N211" s="1">
        <f>'ESTIMATE (INPUT)'!M211</f>
        <v/>
      </c>
      <c r="O211" s="1">
        <f>'ESTIMATE (INPUT)'!N211</f>
        <v/>
      </c>
      <c r="P211" s="1">
        <f>'ESTIMATE (INPUT)'!O211</f>
        <v/>
      </c>
      <c r="Q211" s="1">
        <f>'ESTIMATE (INPUT)'!P211</f>
        <v/>
      </c>
      <c r="R211" s="1">
        <f>'ESTIMATE (INPUT)'!Q211</f>
        <v/>
      </c>
      <c r="S211" s="1">
        <f>'ESTIMATE (INPUT)'!R211</f>
        <v/>
      </c>
      <c r="T211" s="1">
        <f>'ESTIMATE (INPUT)'!S211</f>
        <v/>
      </c>
      <c r="U211" s="12">
        <f>SUM(O211:T211)</f>
        <v/>
      </c>
    </row>
    <row r="212" hidden="1" ht="12" customHeight="1" s="195">
      <c r="A212" s="124">
        <f>'ESTIMATE (INPUT)'!A212</f>
        <v/>
      </c>
      <c r="B212" s="194">
        <f>'ESTIMATE (INPUT)'!B212</f>
        <v/>
      </c>
      <c r="D212" s="1">
        <f>'ESTIMATE (INPUT)'!D212</f>
        <v/>
      </c>
      <c r="E212" s="2">
        <f>'ESTIMATE (INPUT)'!E212</f>
        <v/>
      </c>
      <c r="F212" s="2" t="n"/>
      <c r="G212" s="91" t="n"/>
      <c r="H212" s="91" t="n"/>
      <c r="I212" s="91" t="n"/>
      <c r="J212" s="100" t="n"/>
      <c r="K212" s="100" t="n"/>
      <c r="L212" s="100" t="n"/>
      <c r="M212" s="100" t="n"/>
      <c r="N212" s="1">
        <f>'ESTIMATE (INPUT)'!M212</f>
        <v/>
      </c>
      <c r="O212" s="1">
        <f>'ESTIMATE (INPUT)'!N212</f>
        <v/>
      </c>
      <c r="P212" s="1">
        <f>'ESTIMATE (INPUT)'!O212</f>
        <v/>
      </c>
      <c r="Q212" s="1">
        <f>'ESTIMATE (INPUT)'!P212</f>
        <v/>
      </c>
      <c r="R212" s="1">
        <f>'ESTIMATE (INPUT)'!Q212</f>
        <v/>
      </c>
      <c r="S212" s="1">
        <f>'ESTIMATE (INPUT)'!R212</f>
        <v/>
      </c>
      <c r="T212" s="1">
        <f>'ESTIMATE (INPUT)'!S212</f>
        <v/>
      </c>
      <c r="U212" s="12">
        <f>SUM(O212:T212)</f>
        <v/>
      </c>
    </row>
    <row r="213" hidden="1" ht="12" customHeight="1" s="195">
      <c r="A213" s="124">
        <f>'ESTIMATE (INPUT)'!A213</f>
        <v/>
      </c>
      <c r="B213" s="194">
        <f>'ESTIMATE (INPUT)'!B213</f>
        <v/>
      </c>
      <c r="D213" s="1">
        <f>'ESTIMATE (INPUT)'!D213</f>
        <v/>
      </c>
      <c r="E213" s="2">
        <f>'ESTIMATE (INPUT)'!E213</f>
        <v/>
      </c>
      <c r="F213" s="2" t="n"/>
      <c r="G213" s="91" t="n"/>
      <c r="H213" s="91" t="n"/>
      <c r="I213" s="91" t="n"/>
      <c r="J213" s="100" t="n"/>
      <c r="K213" s="100" t="n"/>
      <c r="L213" s="100" t="n"/>
      <c r="M213" s="100" t="n"/>
      <c r="N213" s="1">
        <f>'ESTIMATE (INPUT)'!M213</f>
        <v/>
      </c>
      <c r="O213" s="1">
        <f>'ESTIMATE (INPUT)'!N213</f>
        <v/>
      </c>
      <c r="P213" s="1">
        <f>'ESTIMATE (INPUT)'!O213</f>
        <v/>
      </c>
      <c r="Q213" s="1">
        <f>'ESTIMATE (INPUT)'!P213</f>
        <v/>
      </c>
      <c r="R213" s="1">
        <f>'ESTIMATE (INPUT)'!Q213</f>
        <v/>
      </c>
      <c r="S213" s="1">
        <f>'ESTIMATE (INPUT)'!R213</f>
        <v/>
      </c>
      <c r="T213" s="1">
        <f>'ESTIMATE (INPUT)'!S213</f>
        <v/>
      </c>
      <c r="U213" s="12">
        <f>SUM(O213:T213)</f>
        <v/>
      </c>
    </row>
    <row r="214" hidden="1" ht="12" customHeight="1" s="195">
      <c r="A214" s="124">
        <f>'ESTIMATE (INPUT)'!A214</f>
        <v/>
      </c>
      <c r="B214" s="194">
        <f>'ESTIMATE (INPUT)'!B214</f>
        <v/>
      </c>
      <c r="D214" s="1">
        <f>'ESTIMATE (INPUT)'!D214</f>
        <v/>
      </c>
      <c r="E214" s="2">
        <f>'ESTIMATE (INPUT)'!E214</f>
        <v/>
      </c>
      <c r="F214" s="2" t="n"/>
      <c r="G214" s="91" t="n"/>
      <c r="H214" s="91" t="n"/>
      <c r="I214" s="91" t="n"/>
      <c r="J214" s="100" t="n"/>
      <c r="K214" s="100" t="n"/>
      <c r="L214" s="100" t="n"/>
      <c r="M214" s="100" t="n"/>
      <c r="N214" s="1">
        <f>'ESTIMATE (INPUT)'!M214</f>
        <v/>
      </c>
      <c r="O214" s="1">
        <f>'ESTIMATE (INPUT)'!N214</f>
        <v/>
      </c>
      <c r="P214" s="1">
        <f>'ESTIMATE (INPUT)'!O214</f>
        <v/>
      </c>
      <c r="Q214" s="1">
        <f>'ESTIMATE (INPUT)'!P214</f>
        <v/>
      </c>
      <c r="R214" s="1">
        <f>'ESTIMATE (INPUT)'!Q214</f>
        <v/>
      </c>
      <c r="S214" s="1">
        <f>'ESTIMATE (INPUT)'!R214</f>
        <v/>
      </c>
      <c r="T214" s="1">
        <f>'ESTIMATE (INPUT)'!S214</f>
        <v/>
      </c>
      <c r="U214" s="12">
        <f>SUM(O214:T214)</f>
        <v/>
      </c>
    </row>
    <row r="215" hidden="1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91" t="n"/>
      <c r="N215" s="1" t="n"/>
      <c r="O215" s="1" t="n"/>
      <c r="P215" s="7" t="n"/>
      <c r="Q215" s="1" t="n"/>
      <c r="R215" s="1" t="n"/>
      <c r="S215" s="7" t="n"/>
      <c r="T215" s="7" t="n"/>
      <c r="U215" s="12" t="n"/>
    </row>
    <row r="216" ht="12" customHeight="1" s="195">
      <c r="A216" s="125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4" t="n"/>
      <c r="N216" s="93">
        <f>SUM(N209:N215)</f>
        <v/>
      </c>
      <c r="O216" s="93">
        <f>SUM(O209:O215)</f>
        <v/>
      </c>
      <c r="P216" s="95">
        <f>SUM(P209:P215)</f>
        <v/>
      </c>
      <c r="Q216" s="93">
        <f>SUM(Q209:Q215)</f>
        <v/>
      </c>
      <c r="R216" s="93">
        <f>SUM(R209:R215)</f>
        <v/>
      </c>
      <c r="S216" s="95">
        <f>SUM(S209:S215)</f>
        <v/>
      </c>
      <c r="T216" s="95">
        <f>SUM(T209:T215)</f>
        <v/>
      </c>
      <c r="U216" s="98">
        <f>SUM(U209:U215)</f>
        <v/>
      </c>
    </row>
    <row r="217" ht="10" customHeight="1" s="195">
      <c r="A217" s="154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91">
        <f>U224</f>
        <v/>
      </c>
      <c r="N217" s="1" t="n"/>
      <c r="O217" s="1" t="n"/>
      <c r="P217" s="7" t="n"/>
      <c r="Q217" s="1" t="n"/>
      <c r="R217" s="1" t="n"/>
      <c r="S217" s="7" t="n"/>
      <c r="T217" s="7" t="n"/>
      <c r="U217" s="155" t="n"/>
    </row>
    <row r="218" hidden="1" ht="12" customHeight="1" s="195">
      <c r="A218" s="124">
        <f>'ESTIMATE (INPUT)'!A218</f>
        <v/>
      </c>
      <c r="B218" s="194">
        <f>'ESTIMATE (INPUT)'!B218</f>
        <v/>
      </c>
      <c r="D218" s="1">
        <f>'ESTIMATE (INPUT)'!D218</f>
        <v/>
      </c>
      <c r="E218" s="2">
        <f>'ESTIMATE (INPUT)'!E218</f>
        <v/>
      </c>
      <c r="F218" s="2" t="n"/>
      <c r="G218" s="91" t="n"/>
      <c r="H218" s="91" t="n"/>
      <c r="I218" s="91" t="n"/>
      <c r="J218" s="100" t="n"/>
      <c r="K218" s="100" t="n"/>
      <c r="L218" s="100" t="n"/>
      <c r="M218" s="100" t="n"/>
      <c r="N218" s="1">
        <f>'ESTIMATE (INPUT)'!M218</f>
        <v/>
      </c>
      <c r="O218" s="1">
        <f>'ESTIMATE (INPUT)'!N218</f>
        <v/>
      </c>
      <c r="P218" s="1">
        <f>'ESTIMATE (INPUT)'!O218</f>
        <v/>
      </c>
      <c r="Q218" s="1">
        <f>'ESTIMATE (INPUT)'!P218</f>
        <v/>
      </c>
      <c r="R218" s="1">
        <f>'ESTIMATE (INPUT)'!Q218</f>
        <v/>
      </c>
      <c r="S218" s="1">
        <f>'ESTIMATE (INPUT)'!R218</f>
        <v/>
      </c>
      <c r="T218" s="1">
        <f>'ESTIMATE (INPUT)'!S218</f>
        <v/>
      </c>
      <c r="U218" s="12">
        <f>SUM(O218:T218)</f>
        <v/>
      </c>
    </row>
    <row r="219" hidden="1" ht="12" customHeight="1" s="195">
      <c r="A219" s="124">
        <f>'ESTIMATE (INPUT)'!A219</f>
        <v/>
      </c>
      <c r="B219" s="194">
        <f>'ESTIMATE (INPUT)'!B219</f>
        <v/>
      </c>
      <c r="D219" s="1">
        <f>'ESTIMATE (INPUT)'!D219</f>
        <v/>
      </c>
      <c r="E219" s="2">
        <f>'ESTIMATE (INPUT)'!E219</f>
        <v/>
      </c>
      <c r="F219" s="2" t="n"/>
      <c r="G219" s="91" t="n"/>
      <c r="H219" s="91" t="n"/>
      <c r="I219" s="91" t="n"/>
      <c r="J219" s="100" t="n"/>
      <c r="K219" s="100" t="n"/>
      <c r="L219" s="100" t="n"/>
      <c r="M219" s="100" t="n"/>
      <c r="N219" s="1">
        <f>'ESTIMATE (INPUT)'!M219</f>
        <v/>
      </c>
      <c r="O219" s="1">
        <f>'ESTIMATE (INPUT)'!N219</f>
        <v/>
      </c>
      <c r="P219" s="1">
        <f>'ESTIMATE (INPUT)'!O219</f>
        <v/>
      </c>
      <c r="Q219" s="1">
        <f>'ESTIMATE (INPUT)'!P219</f>
        <v/>
      </c>
      <c r="R219" s="1">
        <f>'ESTIMATE (INPUT)'!Q219</f>
        <v/>
      </c>
      <c r="S219" s="1">
        <f>'ESTIMATE (INPUT)'!R219</f>
        <v/>
      </c>
      <c r="T219" s="1">
        <f>'ESTIMATE (INPUT)'!S219</f>
        <v/>
      </c>
      <c r="U219" s="12">
        <f>SUM(O219:T219)</f>
        <v/>
      </c>
    </row>
    <row r="220" ht="12" customHeight="1" s="195">
      <c r="A220" s="124">
        <f>'ESTIMATE (INPUT)'!A220</f>
        <v/>
      </c>
      <c r="B220" s="194">
        <f>'ESTIMATE (INPUT)'!B220</f>
        <v/>
      </c>
      <c r="D220" s="1">
        <f>'ESTIMATE (INPUT)'!D220</f>
        <v/>
      </c>
      <c r="E220" s="2">
        <f>'ESTIMATE (INPUT)'!E220</f>
        <v/>
      </c>
      <c r="F220" s="2" t="n"/>
      <c r="G220" s="91" t="n"/>
      <c r="H220" s="91" t="n"/>
      <c r="I220" s="91" t="n"/>
      <c r="J220" s="100" t="n"/>
      <c r="K220" s="100" t="n"/>
      <c r="L220" s="100" t="n"/>
      <c r="M220" s="100" t="n"/>
      <c r="N220" s="1">
        <f>'ESTIMATE (INPUT)'!M220</f>
        <v/>
      </c>
      <c r="O220" s="1">
        <f>'ESTIMATE (INPUT)'!N220</f>
        <v/>
      </c>
      <c r="P220" s="1">
        <f>'ESTIMATE (INPUT)'!O220</f>
        <v/>
      </c>
      <c r="Q220" s="1">
        <f>'ESTIMATE (INPUT)'!P220</f>
        <v/>
      </c>
      <c r="R220" s="1">
        <f>'ESTIMATE (INPUT)'!Q220</f>
        <v/>
      </c>
      <c r="S220" s="1">
        <f>'ESTIMATE (INPUT)'!R220</f>
        <v/>
      </c>
      <c r="T220" s="1">
        <f>'ESTIMATE (INPUT)'!S220</f>
        <v/>
      </c>
      <c r="U220" s="12">
        <f>SUM(O220:T220)</f>
        <v/>
      </c>
    </row>
    <row r="221" ht="12" customHeight="1" s="195">
      <c r="A221" s="124">
        <f>'ESTIMATE (INPUT)'!A221</f>
        <v/>
      </c>
      <c r="B221" s="194">
        <f>'ESTIMATE (INPUT)'!B221</f>
        <v/>
      </c>
      <c r="D221" s="1">
        <f>'ESTIMATE (INPUT)'!D221</f>
        <v/>
      </c>
      <c r="E221" s="2">
        <f>'ESTIMATE (INPUT)'!E221</f>
        <v/>
      </c>
      <c r="F221" s="2" t="n"/>
      <c r="G221" s="91" t="n"/>
      <c r="H221" s="91" t="n"/>
      <c r="I221" s="91" t="n"/>
      <c r="J221" s="100" t="n"/>
      <c r="K221" s="100" t="n"/>
      <c r="L221" s="100" t="n"/>
      <c r="M221" s="100" t="n"/>
      <c r="N221" s="1">
        <f>'ESTIMATE (INPUT)'!M221</f>
        <v/>
      </c>
      <c r="O221" s="1">
        <f>'ESTIMATE (INPUT)'!N221</f>
        <v/>
      </c>
      <c r="P221" s="1">
        <f>'ESTIMATE (INPUT)'!O221</f>
        <v/>
      </c>
      <c r="Q221" s="1">
        <f>'ESTIMATE (INPUT)'!P221</f>
        <v/>
      </c>
      <c r="R221" s="1">
        <f>'ESTIMATE (INPUT)'!Q221</f>
        <v/>
      </c>
      <c r="S221" s="1">
        <f>'ESTIMATE (INPUT)'!R221</f>
        <v/>
      </c>
      <c r="T221" s="1">
        <f>'ESTIMATE (INPUT)'!S221</f>
        <v/>
      </c>
      <c r="U221" s="12">
        <f>SUM(O221:T221)</f>
        <v/>
      </c>
    </row>
    <row r="222" hidden="1" ht="12" customHeight="1" s="195">
      <c r="A222" s="124">
        <f>'ESTIMATE (INPUT)'!A222</f>
        <v/>
      </c>
      <c r="B222" s="194">
        <f>'ESTIMATE (INPUT)'!B222</f>
        <v/>
      </c>
      <c r="D222" s="1">
        <f>'ESTIMATE (INPUT)'!D222</f>
        <v/>
      </c>
      <c r="E222" s="2">
        <f>'ESTIMATE (INPUT)'!E222</f>
        <v/>
      </c>
      <c r="F222" s="2" t="n"/>
      <c r="G222" s="91" t="n"/>
      <c r="H222" s="91" t="n"/>
      <c r="I222" s="91" t="n"/>
      <c r="J222" s="100" t="n"/>
      <c r="K222" s="100" t="n"/>
      <c r="L222" s="100" t="n"/>
      <c r="M222" s="100" t="n"/>
      <c r="N222" s="1">
        <f>'ESTIMATE (INPUT)'!M222</f>
        <v/>
      </c>
      <c r="O222" s="1">
        <f>'ESTIMATE (INPUT)'!N222</f>
        <v/>
      </c>
      <c r="P222" s="1">
        <f>'ESTIMATE (INPUT)'!O222</f>
        <v/>
      </c>
      <c r="Q222" s="1">
        <f>'ESTIMATE (INPUT)'!P222</f>
        <v/>
      </c>
      <c r="R222" s="1">
        <f>'ESTIMATE (INPUT)'!Q222</f>
        <v/>
      </c>
      <c r="S222" s="1">
        <f>'ESTIMATE (INPUT)'!R222</f>
        <v/>
      </c>
      <c r="T222" s="1">
        <f>'ESTIMATE (INPUT)'!S222</f>
        <v/>
      </c>
      <c r="U222" s="12">
        <f>SUM(O222:T222)</f>
        <v/>
      </c>
    </row>
    <row r="223" hidden="1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91" t="n"/>
      <c r="N223" s="1" t="n"/>
      <c r="O223" s="1" t="n"/>
      <c r="P223" s="7" t="n"/>
      <c r="Q223" s="1" t="n"/>
      <c r="R223" s="1" t="n"/>
      <c r="S223" s="7" t="n"/>
      <c r="T223" s="7" t="n"/>
      <c r="U223" s="12" t="n"/>
    </row>
    <row r="224" ht="12" customHeight="1" s="195">
      <c r="A224" s="125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4" t="n"/>
      <c r="N224" s="93">
        <f>SUM(N217:N223)</f>
        <v/>
      </c>
      <c r="O224" s="93">
        <f>SUM(O217:O223)</f>
        <v/>
      </c>
      <c r="P224" s="95">
        <f>SUM(P217:P223)</f>
        <v/>
      </c>
      <c r="Q224" s="93">
        <f>SUM(Q217:Q223)</f>
        <v/>
      </c>
      <c r="R224" s="93">
        <f>SUM(R217:R223)</f>
        <v/>
      </c>
      <c r="S224" s="95">
        <f>SUM(S217:S223)</f>
        <v/>
      </c>
      <c r="T224" s="95">
        <f>SUM(T217:T223)</f>
        <v/>
      </c>
      <c r="U224" s="98">
        <f>SUM(U217:U223)</f>
        <v/>
      </c>
    </row>
    <row r="225" ht="10" customHeight="1" s="195">
      <c r="A225" s="154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91" t="n">
        <v>1</v>
      </c>
      <c r="N225" s="1" t="n"/>
      <c r="O225" s="1" t="n"/>
      <c r="P225" s="7" t="n"/>
      <c r="Q225" s="1" t="n"/>
      <c r="R225" s="1" t="n"/>
      <c r="S225" s="7" t="n"/>
      <c r="T225" s="7" t="n"/>
      <c r="U225" s="155" t="n"/>
    </row>
    <row r="226" ht="15" customHeight="1" s="195">
      <c r="A226" s="114" t="inlineStr">
        <is>
          <t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4" t="n"/>
      <c r="N226" s="93">
        <f>ROUND(SUM(N12:N224)/2,0)-N15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93">
        <f>ROUND(SUM(U12:U224)/2,0)</f>
        <v/>
      </c>
    </row>
    <row r="227" ht="10" customHeight="1" s="195">
      <c r="A227" s="154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91">
        <f>U229</f>
        <v/>
      </c>
      <c r="N227" s="1" t="n"/>
      <c r="O227" s="1" t="n"/>
      <c r="P227" s="7" t="n"/>
      <c r="Q227" s="1" t="n"/>
      <c r="R227" s="1" t="n"/>
      <c r="S227" s="7" t="n"/>
      <c r="T227" s="7" t="n"/>
      <c r="U227" s="155" t="n"/>
    </row>
    <row r="228" hidden="1" ht="10" customHeight="1" s="195">
      <c r="A228" s="132">
        <f>'ESTIMATE (INPUT)'!A228</f>
        <v/>
      </c>
      <c r="B228" s="194">
        <f>'ESTIMATE (INPUT)'!B228</f>
        <v/>
      </c>
      <c r="D228" s="1" t="n">
        <v>1</v>
      </c>
      <c r="E228" s="2" t="inlineStr">
        <is>
          <t>LS</t>
        </is>
      </c>
      <c r="F228" s="2" t="n"/>
      <c r="G228" s="91" t="n"/>
      <c r="H228" s="91" t="n"/>
      <c r="I228" s="91" t="n"/>
      <c r="J228" s="100" t="n"/>
      <c r="K228" s="100">
        <f>U225*A228</f>
        <v/>
      </c>
      <c r="L228" s="100" t="n"/>
      <c r="M228" s="100" t="n"/>
      <c r="N228" s="1">
        <f>'ESTIMATE (INPUT)'!M228</f>
        <v/>
      </c>
      <c r="O228" s="1">
        <f>'ESTIMATE (INPUT)'!N228</f>
        <v/>
      </c>
      <c r="P228" s="1">
        <f>'ESTIMATE (INPUT)'!O228</f>
        <v/>
      </c>
      <c r="Q228" s="1">
        <f>'ESTIMATE (INPUT)'!P228</f>
        <v/>
      </c>
      <c r="R228" s="1">
        <f>'ESTIMATE (INPUT)'!Q228</f>
        <v/>
      </c>
      <c r="S228" s="1">
        <f>'ESTIMATE (INPUT)'!R228</f>
        <v/>
      </c>
      <c r="T228" s="1">
        <f>'ESTIMATE (INPUT)'!S228</f>
        <v/>
      </c>
      <c r="U228" s="12">
        <f>SUM(O228:T228)</f>
        <v/>
      </c>
    </row>
    <row r="229" ht="10" customHeight="1" s="195">
      <c r="A229" s="132">
        <f>'ESTIMATE (INPUT)'!A229</f>
        <v/>
      </c>
      <c r="B229" s="194">
        <f>'ESTIMATE (INPUT)'!B229</f>
        <v/>
      </c>
      <c r="D229" s="1" t="n">
        <v>1</v>
      </c>
      <c r="E229" s="2" t="inlineStr">
        <is>
          <t>LS</t>
        </is>
      </c>
      <c r="F229" s="2" t="n"/>
      <c r="G229" s="91" t="n"/>
      <c r="H229" s="91" t="n"/>
      <c r="I229" s="91" t="n"/>
      <c r="J229" s="100" t="n"/>
      <c r="K229" s="100">
        <f>U226*A229</f>
        <v/>
      </c>
      <c r="L229" s="100" t="n"/>
      <c r="M229" s="100" t="n"/>
      <c r="N229" s="1">
        <f>'ESTIMATE (INPUT)'!M229</f>
        <v/>
      </c>
      <c r="O229" s="1">
        <f>'ESTIMATE (INPUT)'!N229</f>
        <v/>
      </c>
      <c r="P229" s="1">
        <f>'ESTIMATE (INPUT)'!O229</f>
        <v/>
      </c>
      <c r="Q229" s="1">
        <f>'ESTIMATE (INPUT)'!P229</f>
        <v/>
      </c>
      <c r="R229" s="1">
        <f>'ESTIMATE (INPUT)'!Q229</f>
        <v/>
      </c>
      <c r="S229" s="1">
        <f>'ESTIMATE (INPUT)'!R229</f>
        <v/>
      </c>
      <c r="T229" s="1">
        <f>'ESTIMATE (INPUT)'!S229</f>
        <v/>
      </c>
      <c r="U229" s="12">
        <f>SUM(O229:T229)</f>
        <v/>
      </c>
    </row>
    <row r="230" ht="10" customHeight="1" s="195">
      <c r="A230" s="132">
        <f>'ESTIMATE (INPUT)'!A230</f>
        <v/>
      </c>
      <c r="B230" s="194">
        <f>'ESTIMATE (INPUT)'!B230</f>
        <v/>
      </c>
      <c r="D230" s="1" t="n">
        <v>1</v>
      </c>
      <c r="E230" s="2" t="inlineStr">
        <is>
          <t>LS</t>
        </is>
      </c>
      <c r="F230" s="2" t="n"/>
      <c r="G230" s="91" t="n"/>
      <c r="H230" s="91" t="n"/>
      <c r="I230" s="91" t="n"/>
      <c r="J230" s="91" t="n"/>
      <c r="K230" s="99">
        <f>(U226+U229)*A230</f>
        <v/>
      </c>
      <c r="L230" s="92" t="n"/>
      <c r="M230" s="92" t="n"/>
      <c r="N230" s="1">
        <f>'ESTIMATE (INPUT)'!M230</f>
        <v/>
      </c>
      <c r="O230" s="1">
        <f>'ESTIMATE (INPUT)'!N230</f>
        <v/>
      </c>
      <c r="P230" s="1">
        <f>'ESTIMATE (INPUT)'!O230</f>
        <v/>
      </c>
      <c r="Q230" s="1">
        <f>'ESTIMATE (INPUT)'!P230</f>
        <v/>
      </c>
      <c r="R230" s="1">
        <f>'ESTIMATE (INPUT)'!Q230</f>
        <v/>
      </c>
      <c r="S230" s="1">
        <f>'ESTIMATE (INPUT)'!R230</f>
        <v/>
      </c>
      <c r="T230" s="1">
        <f>'ESTIMATE (INPUT)'!S230</f>
        <v/>
      </c>
      <c r="U230" s="12">
        <f>SUM(O230:T230)</f>
        <v/>
      </c>
    </row>
    <row r="231" hidden="1" ht="5" customHeight="1" s="195">
      <c r="A231" s="154" t="n">
        <v>1</v>
      </c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91" t="n"/>
      <c r="N231" s="1" t="n"/>
      <c r="O231" s="1" t="n"/>
      <c r="P231" s="7" t="n"/>
      <c r="Q231" s="1" t="n"/>
      <c r="R231" s="1" t="n"/>
      <c r="S231" s="7" t="n"/>
      <c r="T231" s="7" t="n"/>
      <c r="U231" s="12" t="n"/>
    </row>
    <row r="232" ht="15" customHeight="1" s="195">
      <c r="A232" s="114" t="n"/>
      <c r="B232" s="98" t="inlineStr">
        <is>
          <t>GRAND TOTAL (excludes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4" t="n"/>
      <c r="N232" s="93">
        <f>SUM(N226:N231)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93">
        <f>SUM(U226:U230)</f>
        <v/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  <c r="P233" s="7" t="n"/>
      <c r="Q233" s="1" t="n"/>
      <c r="R233" s="1" t="n"/>
      <c r="S233" s="7" t="n"/>
      <c r="T233" s="7" t="n"/>
      <c r="U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  <c r="P234" s="7" t="n"/>
      <c r="Q234" s="1" t="n"/>
      <c r="R234" s="1" t="n"/>
      <c r="S234" s="7" t="n"/>
      <c r="T234" s="7" t="n"/>
      <c r="U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" t="n"/>
      <c r="N235" s="118" t="n"/>
      <c r="O235" s="97" t="n"/>
      <c r="P235" s="7" t="n"/>
      <c r="Q235" s="97" t="n"/>
      <c r="R235" s="1" t="n"/>
      <c r="S235" s="7" t="n"/>
      <c r="T235" s="7" t="n"/>
      <c r="U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  <c r="P236" s="7" t="n"/>
      <c r="Q236" s="1" t="n"/>
      <c r="R236" s="1" t="n"/>
      <c r="S236" s="7" t="n"/>
      <c r="T236" s="7" t="n"/>
      <c r="U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12" t="n"/>
      <c r="P237" s="7" t="n"/>
      <c r="Q237" s="1" t="n"/>
      <c r="R237" s="1" t="n"/>
      <c r="S237" s="7" t="n"/>
      <c r="T237" s="7" t="n"/>
      <c r="U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12" t="n"/>
      <c r="P238" s="7" t="n"/>
      <c r="Q238" s="1" t="n"/>
      <c r="R238" s="1" t="n"/>
      <c r="S238" s="7" t="n"/>
      <c r="T238" s="7" t="n"/>
      <c r="U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12" t="n"/>
      <c r="P239" s="7" t="n"/>
      <c r="Q239" s="1" t="n"/>
      <c r="R239" s="1" t="n"/>
      <c r="S239" s="7" t="n"/>
      <c r="T239" s="7" t="n"/>
      <c r="U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  <c r="P240" s="7" t="n"/>
      <c r="Q240" s="1" t="n"/>
      <c r="R240" s="1" t="n"/>
      <c r="S240" s="7" t="n"/>
      <c r="T240" s="7" t="n"/>
      <c r="U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  <c r="P241" s="7" t="n"/>
      <c r="Q241" s="1" t="n"/>
      <c r="R241" s="1" t="n"/>
      <c r="S241" s="7" t="n"/>
      <c r="T241" s="7" t="n"/>
      <c r="U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  <c r="P242" s="7" t="n"/>
      <c r="Q242" s="1" t="n"/>
      <c r="R242" s="1" t="n"/>
      <c r="S242" s="7" t="n"/>
      <c r="T242" s="7" t="n"/>
      <c r="U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  <c r="P243" s="7" t="n"/>
      <c r="Q243" s="1" t="n"/>
      <c r="R243" s="1" t="n"/>
      <c r="S243" s="7" t="n"/>
      <c r="T243" s="7" t="n"/>
      <c r="U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  <c r="P244" s="7" t="n"/>
      <c r="Q244" s="1" t="n"/>
      <c r="R244" s="1" t="n"/>
      <c r="S244" s="7" t="n"/>
      <c r="T244" s="7" t="n"/>
      <c r="U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  <c r="P245" s="7" t="n"/>
      <c r="Q245" s="1" t="n"/>
      <c r="R245" s="1" t="n"/>
      <c r="S245" s="7" t="n"/>
      <c r="T245" s="7" t="n"/>
      <c r="U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  <c r="P246" s="7" t="n"/>
      <c r="Q246" s="1" t="n"/>
      <c r="R246" s="1" t="n"/>
      <c r="S246" s="7" t="n"/>
      <c r="T246" s="7" t="n"/>
      <c r="U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  <c r="P247" s="7" t="n"/>
      <c r="Q247" s="1" t="n"/>
      <c r="R247" s="1" t="n"/>
      <c r="S247" s="7" t="n"/>
      <c r="T247" s="7" t="n"/>
      <c r="U247" s="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6BHr9smWxQjep+04TCyNQ==" formatRows="1" sort="1" spinCount="100000" hashValue="dHKM7gl5F2l2S3K3OvyYbqZ87twgtXab403vam/tXTDh4kuwVpUAbov1hQcItsDuanCKq6aq08ohaGvSl+ullw=="/>
  <mergeCells count="162">
    <mergeCell ref="B91:C91"/>
    <mergeCell ref="B165:C165"/>
    <mergeCell ref="B155:C155"/>
    <mergeCell ref="B115:C115"/>
    <mergeCell ref="B93:C93"/>
    <mergeCell ref="B22:C22"/>
    <mergeCell ref="B31:C31"/>
    <mergeCell ref="B110:C110"/>
    <mergeCell ref="B77:C77"/>
    <mergeCell ref="B21:C21"/>
    <mergeCell ref="B86:C86"/>
    <mergeCell ref="B151:C151"/>
    <mergeCell ref="B61:C61"/>
    <mergeCell ref="B14:C14"/>
    <mergeCell ref="B13:C13"/>
    <mergeCell ref="B182:C182"/>
    <mergeCell ref="B69:C69"/>
    <mergeCell ref="B38:C38"/>
    <mergeCell ref="B205:C205"/>
    <mergeCell ref="B178:C178"/>
    <mergeCell ref="P6:S6"/>
    <mergeCell ref="B127:C127"/>
    <mergeCell ref="B211:C211"/>
    <mergeCell ref="B49:C49"/>
    <mergeCell ref="B24:C24"/>
    <mergeCell ref="B64:C64"/>
    <mergeCell ref="B33:C33"/>
    <mergeCell ref="B104:C104"/>
    <mergeCell ref="B164:C164"/>
    <mergeCell ref="B51:C51"/>
    <mergeCell ref="B32:C32"/>
    <mergeCell ref="B63:C63"/>
    <mergeCell ref="B197:C197"/>
    <mergeCell ref="B212:C212"/>
    <mergeCell ref="B154:C154"/>
    <mergeCell ref="B206:C206"/>
    <mergeCell ref="B35:C35"/>
    <mergeCell ref="B106:C106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:C11"/>
    <mergeCell ref="B117:C117"/>
    <mergeCell ref="B179:C179"/>
    <mergeCell ref="B132:C132"/>
    <mergeCell ref="B119:C119"/>
    <mergeCell ref="B116:C116"/>
    <mergeCell ref="B29:C29"/>
    <mergeCell ref="B103:C103"/>
    <mergeCell ref="B37:C37"/>
    <mergeCell ref="B174:C174"/>
    <mergeCell ref="B186:C186"/>
    <mergeCell ref="B230:C230"/>
    <mergeCell ref="B196:C196"/>
    <mergeCell ref="B84:C84"/>
    <mergeCell ref="B118:C118"/>
    <mergeCell ref="P2:S2"/>
    <mergeCell ref="B15:C15"/>
    <mergeCell ref="B142:C142"/>
    <mergeCell ref="B213:C213"/>
    <mergeCell ref="B95:C95"/>
    <mergeCell ref="B169:C169"/>
    <mergeCell ref="B160:C160"/>
    <mergeCell ref="B144:C144"/>
    <mergeCell ref="B97:C97"/>
    <mergeCell ref="B153:C153"/>
    <mergeCell ref="B125:C125"/>
    <mergeCell ref="B72:C72"/>
    <mergeCell ref="B134:C134"/>
    <mergeCell ref="B194:C194"/>
    <mergeCell ref="B81:C81"/>
    <mergeCell ref="B121:C121"/>
    <mergeCell ref="B122:C122"/>
    <mergeCell ref="B96:C96"/>
    <mergeCell ref="B71:C71"/>
    <mergeCell ref="B56:C56"/>
    <mergeCell ref="B105:C105"/>
    <mergeCell ref="B43:C43"/>
    <mergeCell ref="B58:C58"/>
    <mergeCell ref="B214:C214"/>
    <mergeCell ref="B228:C228"/>
    <mergeCell ref="B52:C52"/>
    <mergeCell ref="B210:C210"/>
    <mergeCell ref="B120:C120"/>
    <mergeCell ref="B98:C98"/>
    <mergeCell ref="B42:C42"/>
    <mergeCell ref="B107:C107"/>
    <mergeCell ref="B60:C60"/>
    <mergeCell ref="B17:C17"/>
    <mergeCell ref="B170:C170"/>
    <mergeCell ref="B57:C57"/>
    <mergeCell ref="B82:C82"/>
    <mergeCell ref="B162:C162"/>
    <mergeCell ref="B171:C171"/>
    <mergeCell ref="B44:C44"/>
    <mergeCell ref="B19:C19"/>
    <mergeCell ref="B34:C34"/>
    <mergeCell ref="B172:C172"/>
    <mergeCell ref="B146:C146"/>
    <mergeCell ref="B28:C28"/>
    <mergeCell ref="B99:C99"/>
    <mergeCell ref="B108:C108"/>
    <mergeCell ref="B187:C187"/>
    <mergeCell ref="B83:C83"/>
    <mergeCell ref="B143:C143"/>
    <mergeCell ref="B92:C92"/>
    <mergeCell ref="B30:C30"/>
    <mergeCell ref="B124:C124"/>
    <mergeCell ref="B20:C20"/>
    <mergeCell ref="B189:C189"/>
    <mergeCell ref="B76:C76"/>
    <mergeCell ref="B45:C45"/>
    <mergeCell ref="B133:C133"/>
    <mergeCell ref="B85:C85"/>
    <mergeCell ref="B204:C204"/>
    <mergeCell ref="B198:C198"/>
    <mergeCell ref="B94:C94"/>
    <mergeCell ref="B173:C173"/>
    <mergeCell ref="B188:C188"/>
    <mergeCell ref="B126:C126"/>
    <mergeCell ref="B75:C75"/>
    <mergeCell ref="B135:C135"/>
    <mergeCell ref="B109:C109"/>
    <mergeCell ref="B218:C218"/>
    <mergeCell ref="B62:C62"/>
    <mergeCell ref="B47:C47"/>
    <mergeCell ref="B59:C59"/>
    <mergeCell ref="P3:S3"/>
    <mergeCell ref="B190:C190"/>
    <mergeCell ref="B46:C46"/>
    <mergeCell ref="B202:C202"/>
    <mergeCell ref="B152:C152"/>
    <mergeCell ref="B70:C70"/>
    <mergeCell ref="P5:S5"/>
    <mergeCell ref="B219:C219"/>
    <mergeCell ref="B48:C48"/>
    <mergeCell ref="B161:C161"/>
    <mergeCell ref="B229:C229"/>
    <mergeCell ref="B111:C111"/>
    <mergeCell ref="B136:C136"/>
    <mergeCell ref="B23:C23"/>
    <mergeCell ref="B145:C145"/>
    <mergeCell ref="P4:S4"/>
    <mergeCell ref="B181:C181"/>
    <mergeCell ref="B73:C73"/>
    <mergeCell ref="B87:C87"/>
    <mergeCell ref="B147:C147"/>
    <mergeCell ref="B137:C137"/>
    <mergeCell ref="B74:C74"/>
    <mergeCell ref="B68:C68"/>
    <mergeCell ref="B222:C222"/>
    <mergeCell ref="B123:C123"/>
    <mergeCell ref="B36:C36"/>
    <mergeCell ref="B221:C221"/>
    <mergeCell ref="B50:C50"/>
    <mergeCell ref="B203:C203"/>
    <mergeCell ref="B163:C163"/>
  </mergeCells>
  <pageMargins left="0.5" right="0.5" top="0.5" bottom="0.5" header="0.33" footer="0.5"/>
  <pageSetup orientation="landscape" scale="94" fitToHeight="10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 transitionEvaluation="1" transitionEntry="1">
    <outlinePr summaryBelow="1" summaryRight="1"/>
    <pageSetUpPr/>
  </sheetPr>
  <dimension ref="A1:IV126"/>
  <sheetViews>
    <sheetView showGridLines="0" defaultGridColor="0" colorId="22" zoomScale="87" workbookViewId="0">
      <selection activeCell="H3" sqref="H3"/>
    </sheetView>
  </sheetViews>
  <sheetFormatPr baseColWidth="10" defaultColWidth="9.75" defaultRowHeight="11"/>
  <cols>
    <col width="14.75" customWidth="1" style="195" min="1" max="1"/>
    <col width="12.75" customWidth="1" style="195" min="2" max="2"/>
    <col width="11.75" customWidth="1" style="195" min="3" max="3"/>
    <col width="12.75" customWidth="1" style="195" min="4" max="4"/>
    <col width="11.75" customWidth="1" style="195" min="6" max="6"/>
    <col width="13.75" customWidth="1" style="195" min="7" max="7"/>
    <col width="11.75" customWidth="1" style="195" min="8" max="25"/>
  </cols>
  <sheetData>
    <row r="1" ht="23" customHeight="1" s="195">
      <c r="A1" s="14" t="inlineStr">
        <is>
          <t>TAKE OFF PAGE #1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  <c r="J1" s="16" t="n"/>
      <c r="K1" s="18" t="n"/>
      <c r="L1" s="18" t="n"/>
      <c r="M1" s="18" t="n"/>
      <c r="N1" s="18" t="n"/>
      <c r="O1" s="18" t="n"/>
      <c r="P1" s="18" t="n"/>
      <c r="Q1" s="18" t="n"/>
      <c r="R1" s="18" t="n"/>
      <c r="S1" s="18" t="n"/>
      <c r="T1" s="18" t="n"/>
      <c r="U1" s="18" t="n"/>
      <c r="V1" s="18" t="n"/>
      <c r="W1" s="19" t="n"/>
    </row>
    <row r="2" ht="23" customHeight="1" s="195">
      <c r="A2" s="20" t="inlineStr">
        <is>
          <t>JOB:</t>
        </is>
      </c>
      <c r="B2" s="17">
        <f>'ESTIMATE (INPUT)'!P2</f>
        <v/>
      </c>
      <c r="C2" s="0" t="n"/>
      <c r="D2" s="17" t="n"/>
      <c r="E2" s="16" t="n"/>
      <c r="F2" s="16" t="n"/>
      <c r="G2" s="0" t="n"/>
      <c r="H2" s="16" t="n"/>
      <c r="I2" s="21" t="n"/>
      <c r="J2" s="21" t="n"/>
      <c r="K2" s="22" t="n"/>
      <c r="L2" s="22" t="n"/>
      <c r="M2" s="22" t="n"/>
      <c r="N2" s="18" t="n"/>
      <c r="O2" s="23" t="n"/>
      <c r="P2" s="18" t="n"/>
      <c r="Q2" s="18" t="n"/>
      <c r="R2" s="18" t="n"/>
      <c r="S2" s="18" t="n"/>
      <c r="T2" s="18" t="n"/>
      <c r="U2" s="18" t="n"/>
      <c r="V2" s="24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n"/>
      <c r="F3" s="16" t="n"/>
      <c r="G3" s="20" t="n"/>
      <c r="H3" s="16" t="n"/>
      <c r="I3" s="21" t="n"/>
      <c r="J3" s="21" t="n"/>
      <c r="K3" s="22" t="n"/>
      <c r="L3" s="22" t="n"/>
      <c r="M3" s="22" t="n"/>
      <c r="N3" s="18" t="n"/>
      <c r="O3" s="23" t="n"/>
      <c r="P3" s="18" t="n"/>
      <c r="Q3" s="18" t="n"/>
      <c r="R3" s="18" t="n"/>
      <c r="S3" s="18" t="n"/>
      <c r="T3" s="18" t="n"/>
      <c r="U3" s="18" t="n"/>
      <c r="V3" s="26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  <c r="J4" s="29" t="n"/>
      <c r="K4" s="22" t="n"/>
      <c r="L4" s="22" t="n"/>
      <c r="M4" s="22" t="n"/>
      <c r="N4" s="18" t="n"/>
      <c r="O4" s="23" t="n"/>
      <c r="P4" s="18" t="n"/>
      <c r="Q4" s="18" t="n"/>
      <c r="R4" s="18" t="n"/>
      <c r="S4" s="18" t="n"/>
      <c r="T4" s="18" t="n"/>
      <c r="U4" s="18" t="n"/>
      <c r="V4" s="24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  <c r="J5" s="27" t="n"/>
      <c r="K5" s="0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26" t="n"/>
    </row>
    <row r="6" ht="24" customHeight="1" s="195" thickBot="1">
      <c r="A6" s="16" t="inlineStr">
        <is>
          <t>FOOTINGS - PAD TYPE - NEAT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  <c r="J6" s="16" t="n"/>
      <c r="K6" s="0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</row>
    <row r="7" ht="14" customHeight="1" s="195" thickTop="1">
      <c r="A7" s="31" t="n"/>
      <c r="B7" s="32" t="n"/>
      <c r="C7" s="33" t="n"/>
      <c r="D7" s="33" t="n"/>
      <c r="E7" s="33" t="n"/>
      <c r="F7" s="34" t="inlineStr">
        <is>
          <t>EXCV.</t>
        </is>
      </c>
      <c r="G7" s="35" t="inlineStr">
        <is>
          <t>S.F.</t>
        </is>
      </c>
      <c r="H7" s="35" t="inlineStr">
        <is>
          <t>CONCRETE</t>
        </is>
      </c>
      <c r="I7" s="35" t="inlineStr">
        <is>
          <t>EXCV. TOTAL</t>
        </is>
      </c>
      <c r="J7" s="27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</row>
    <row r="8" ht="13" customHeight="1" s="195">
      <c r="A8" s="36" t="inlineStr">
        <is>
          <t>NOTES</t>
        </is>
      </c>
      <c r="B8" s="37" t="inlineStr">
        <is>
          <t>QUANTITY</t>
        </is>
      </c>
      <c r="C8" s="38" t="inlineStr">
        <is>
          <t>LENGTH</t>
        </is>
      </c>
      <c r="D8" s="38" t="inlineStr">
        <is>
          <t>WIDTH</t>
        </is>
      </c>
      <c r="E8" s="38" t="inlineStr">
        <is>
          <t>DEPTH</t>
        </is>
      </c>
      <c r="F8" s="39" t="inlineStr">
        <is>
          <t>DEPTH</t>
        </is>
      </c>
      <c r="G8" s="40" t="inlineStr">
        <is>
          <t>FINISH</t>
        </is>
      </c>
      <c r="H8" s="40" t="inlineStr">
        <is>
          <t>+25%</t>
        </is>
      </c>
      <c r="I8" s="40" t="inlineStr">
        <is>
          <t>35% FLUFF</t>
        </is>
      </c>
      <c r="J8" s="27" t="n"/>
      <c r="K8" s="18" t="n"/>
      <c r="L8" s="18" t="n"/>
      <c r="M8" s="18" t="n"/>
      <c r="N8" s="18" t="n"/>
      <c r="O8" s="22" t="n"/>
      <c r="P8" s="22" t="n"/>
      <c r="Q8" s="22" t="n"/>
      <c r="R8" s="22" t="n"/>
      <c r="S8" s="22" t="n"/>
      <c r="T8" s="22" t="n"/>
      <c r="U8" s="41" t="n"/>
      <c r="V8" s="41" t="n"/>
    </row>
    <row r="9" ht="13" customHeight="1" s="195">
      <c r="A9" s="42" t="n"/>
      <c r="B9" s="43" t="n"/>
      <c r="C9" s="44" t="n"/>
      <c r="D9" s="44">
        <f>C9</f>
        <v/>
      </c>
      <c r="E9" s="44" t="n"/>
      <c r="F9" s="45">
        <f>E9</f>
        <v/>
      </c>
      <c r="G9" s="46">
        <f>D9*C9*B9</f>
        <v/>
      </c>
      <c r="H9" s="47">
        <f>B9*C9*D9*E9*1.25/27</f>
        <v/>
      </c>
      <c r="I9" s="47">
        <f>B9*C9*D9*E9*1.25*1.35/27</f>
        <v/>
      </c>
      <c r="J9" s="27" t="n"/>
    </row>
    <row r="10" ht="13" customHeight="1" s="195">
      <c r="A10" s="42" t="n"/>
      <c r="B10" s="43" t="n"/>
      <c r="C10" s="44" t="n"/>
      <c r="D10" s="44">
        <f>C10</f>
        <v/>
      </c>
      <c r="E10" s="44" t="n"/>
      <c r="F10" s="45">
        <f>E10</f>
        <v/>
      </c>
      <c r="G10" s="46">
        <f>D10*C10*B10</f>
        <v/>
      </c>
      <c r="H10" s="47">
        <f>B10*C10*D10*E10*1.25/27</f>
        <v/>
      </c>
      <c r="I10" s="47">
        <f>B10*C10*D10*E10*1.25*1.35/27</f>
        <v/>
      </c>
      <c r="J10" s="27" t="n"/>
    </row>
    <row r="11" ht="13" customHeight="1" s="195">
      <c r="A11" s="42" t="n"/>
      <c r="B11" s="43" t="n"/>
      <c r="C11" s="44" t="n"/>
      <c r="D11" s="44">
        <f>C11</f>
        <v/>
      </c>
      <c r="E11" s="44" t="n"/>
      <c r="F11" s="45">
        <f>E11</f>
        <v/>
      </c>
      <c r="G11" s="46">
        <f>D11*C11*B11</f>
        <v/>
      </c>
      <c r="H11" s="47">
        <f>B11*C11*D11*E11*1.25/27</f>
        <v/>
      </c>
      <c r="I11" s="47">
        <f>B11*C11*D11*E11*1.25*1.35/27</f>
        <v/>
      </c>
      <c r="J11" s="27" t="n"/>
    </row>
    <row r="12" ht="13" customHeight="1" s="195">
      <c r="A12" s="42" t="n"/>
      <c r="B12" s="43" t="n"/>
      <c r="C12" s="44" t="n"/>
      <c r="D12" s="44">
        <f>C12</f>
        <v/>
      </c>
      <c r="E12" s="44" t="n"/>
      <c r="F12" s="45">
        <f>E12</f>
        <v/>
      </c>
      <c r="G12" s="46">
        <f>D12*C12*B12</f>
        <v/>
      </c>
      <c r="H12" s="47">
        <f>B12*C12*D12*E12*1.25/27</f>
        <v/>
      </c>
      <c r="I12" s="47">
        <f>B12*C12*D12*E12*1.25*1.35/27</f>
        <v/>
      </c>
      <c r="J12" s="27" t="n"/>
    </row>
    <row r="13" ht="13" customHeight="1" s="195">
      <c r="A13" s="48" t="n"/>
      <c r="B13" s="49" t="n"/>
      <c r="C13" s="50" t="n"/>
      <c r="D13" s="44">
        <f>C13</f>
        <v/>
      </c>
      <c r="E13" s="50" t="n"/>
      <c r="F13" s="45">
        <f>E13</f>
        <v/>
      </c>
      <c r="G13" s="46">
        <f>D13*C13*B13</f>
        <v/>
      </c>
      <c r="H13" s="47">
        <f>B13*C13*D13*E13*1.25/27</f>
        <v/>
      </c>
      <c r="I13" s="47">
        <f>B13*C13*D13*E13*1.25*1.35/27</f>
        <v/>
      </c>
      <c r="J13" s="51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</row>
    <row r="14" ht="13" customHeight="1" s="195">
      <c r="A14" s="48" t="n"/>
      <c r="B14" s="49" t="n"/>
      <c r="C14" s="50" t="n"/>
      <c r="D14" s="44">
        <f>C14</f>
        <v/>
      </c>
      <c r="E14" s="50" t="n"/>
      <c r="F14" s="45">
        <f>E14</f>
        <v/>
      </c>
      <c r="G14" s="46">
        <f>D14*C14*B14</f>
        <v/>
      </c>
      <c r="H14" s="47">
        <f>B14*C14*D14*E14*1.25/27</f>
        <v/>
      </c>
      <c r="I14" s="47">
        <f>B14*C14*D14*E14*1.25*1.35/27</f>
        <v/>
      </c>
      <c r="J14" s="51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</row>
    <row r="15" ht="13" customHeight="1" s="195">
      <c r="A15" s="48" t="n"/>
      <c r="B15" s="49" t="n"/>
      <c r="C15" s="50" t="n"/>
      <c r="D15" s="44">
        <f>C15</f>
        <v/>
      </c>
      <c r="E15" s="50" t="n"/>
      <c r="F15" s="45">
        <f>E15</f>
        <v/>
      </c>
      <c r="G15" s="46">
        <f>D15*C15*B15</f>
        <v/>
      </c>
      <c r="H15" s="47">
        <f>B15*C15*D15*E15*1.25/27</f>
        <v/>
      </c>
      <c r="I15" s="47">
        <f>B15*C15*D15*E15*1.25*1.35/27</f>
        <v/>
      </c>
      <c r="J15" s="51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</row>
    <row r="16" ht="13" customHeight="1" s="195">
      <c r="A16" s="48" t="n"/>
      <c r="B16" s="49" t="n"/>
      <c r="C16" s="50" t="n"/>
      <c r="D16" s="44">
        <f>C16</f>
        <v/>
      </c>
      <c r="E16" s="50" t="n"/>
      <c r="F16" s="45">
        <f>E16</f>
        <v/>
      </c>
      <c r="G16" s="46">
        <f>D16*C16*B16</f>
        <v/>
      </c>
      <c r="H16" s="47">
        <f>B16*C16*D16*E16*1.25/27</f>
        <v/>
      </c>
      <c r="I16" s="47">
        <f>B16*C16*D16*E16*1.25*1.35/27</f>
        <v/>
      </c>
      <c r="J16" s="51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</row>
    <row r="17" ht="13" customHeight="1" s="195">
      <c r="A17" s="48" t="n"/>
      <c r="B17" s="49" t="n"/>
      <c r="C17" s="50" t="n"/>
      <c r="D17" s="44">
        <f>C17</f>
        <v/>
      </c>
      <c r="E17" s="50" t="n"/>
      <c r="F17" s="45">
        <f>E17</f>
        <v/>
      </c>
      <c r="G17" s="46">
        <f>D17*C17*B17</f>
        <v/>
      </c>
      <c r="H17" s="47">
        <f>B17*C17*D17*E17*1.25/27</f>
        <v/>
      </c>
      <c r="I17" s="47">
        <f>B17*C17*D17*E17*1.25*1.35/27</f>
        <v/>
      </c>
      <c r="J17" s="51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</row>
    <row r="18" ht="13" customHeight="1" s="195">
      <c r="A18" s="48" t="n"/>
      <c r="B18" s="49" t="n"/>
      <c r="C18" s="50" t="n"/>
      <c r="D18" s="44">
        <f>C18</f>
        <v/>
      </c>
      <c r="E18" s="50" t="n"/>
      <c r="F18" s="45">
        <f>E18</f>
        <v/>
      </c>
      <c r="G18" s="46">
        <f>D18*C18*B18</f>
        <v/>
      </c>
      <c r="H18" s="47">
        <f>B18*C18*D18*E18*1.25/27</f>
        <v/>
      </c>
      <c r="I18" s="47">
        <f>B18*C18*D18*E18*1.25*1.35/27</f>
        <v/>
      </c>
      <c r="J18" s="51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</row>
    <row r="19" ht="13" customHeight="1" s="195">
      <c r="A19" s="48" t="n"/>
      <c r="B19" s="49" t="n"/>
      <c r="C19" s="50" t="n"/>
      <c r="D19" s="44">
        <f>C19</f>
        <v/>
      </c>
      <c r="E19" s="50" t="n"/>
      <c r="F19" s="45">
        <f>E19</f>
        <v/>
      </c>
      <c r="G19" s="46">
        <f>D19*C19*B19</f>
        <v/>
      </c>
      <c r="H19" s="47">
        <f>B19*C19*D19*E19*1.25/27</f>
        <v/>
      </c>
      <c r="I19" s="47">
        <f>B19*C19*D19*E19*1.25*1.35/27</f>
        <v/>
      </c>
      <c r="J19" s="51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</row>
    <row r="20" ht="13" customHeight="1" s="195">
      <c r="A20" s="48" t="n"/>
      <c r="B20" s="49" t="n"/>
      <c r="C20" s="50" t="n"/>
      <c r="D20" s="44">
        <f>C20</f>
        <v/>
      </c>
      <c r="E20" s="50" t="n"/>
      <c r="F20" s="45">
        <f>E20</f>
        <v/>
      </c>
      <c r="G20" s="46">
        <f>D20*C20*B20</f>
        <v/>
      </c>
      <c r="H20" s="47">
        <f>B20*C20*D20*E20*1.25/27</f>
        <v/>
      </c>
      <c r="I20" s="47">
        <f>B20*C20*D20*E20*1.25*1.35/27</f>
        <v/>
      </c>
      <c r="J20" s="51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</row>
    <row r="21" ht="13" customHeight="1" s="195">
      <c r="A21" s="48" t="n"/>
      <c r="B21" s="49" t="n"/>
      <c r="C21" s="50" t="n"/>
      <c r="D21" s="44">
        <f>C21</f>
        <v/>
      </c>
      <c r="E21" s="50" t="n"/>
      <c r="F21" s="45">
        <f>E21</f>
        <v/>
      </c>
      <c r="G21" s="46">
        <f>D21*C21*B21</f>
        <v/>
      </c>
      <c r="H21" s="47">
        <f>B21*C21*D21*E21*1.25/27</f>
        <v/>
      </c>
      <c r="I21" s="47">
        <f>B21*C21*D21*E21*1.25*1.35/27</f>
        <v/>
      </c>
      <c r="J21" s="51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</row>
    <row r="22" ht="13" customHeight="1" s="195">
      <c r="A22" s="48" t="n"/>
      <c r="B22" s="49" t="n"/>
      <c r="C22" s="50" t="n"/>
      <c r="D22" s="44">
        <f>C22</f>
        <v/>
      </c>
      <c r="E22" s="50" t="n"/>
      <c r="F22" s="45">
        <f>E22</f>
        <v/>
      </c>
      <c r="G22" s="46">
        <f>D22*C22*B22</f>
        <v/>
      </c>
      <c r="H22" s="47">
        <f>B22*C22*D22*E22*1.25/27</f>
        <v/>
      </c>
      <c r="I22" s="47">
        <f>B22*C22*D22*E22*1.25*1.35/27</f>
        <v/>
      </c>
      <c r="J22" s="51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</row>
    <row r="23" ht="13" customHeight="1" s="195">
      <c r="A23" s="48" t="n"/>
      <c r="B23" s="49" t="n"/>
      <c r="C23" s="50" t="n"/>
      <c r="D23" s="44">
        <f>C23</f>
        <v/>
      </c>
      <c r="E23" s="50" t="n"/>
      <c r="F23" s="45">
        <f>E23</f>
        <v/>
      </c>
      <c r="G23" s="46">
        <f>D23*C23*B23</f>
        <v/>
      </c>
      <c r="H23" s="47">
        <f>B23*C23*D23*E23*1.25/27</f>
        <v/>
      </c>
      <c r="I23" s="47">
        <f>B23*C23*D23*E23*1.25*1.35/27</f>
        <v/>
      </c>
      <c r="J23" s="51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</row>
    <row r="24" ht="13" customHeight="1" s="195">
      <c r="A24" s="48" t="n"/>
      <c r="B24" s="49" t="n"/>
      <c r="C24" s="50" t="n"/>
      <c r="D24" s="44">
        <f>C24</f>
        <v/>
      </c>
      <c r="E24" s="50" t="n"/>
      <c r="F24" s="45">
        <f>E24</f>
        <v/>
      </c>
      <c r="G24" s="46">
        <f>D24*C24*B24</f>
        <v/>
      </c>
      <c r="H24" s="47">
        <f>B24*C24*D24*E24*1.25/27</f>
        <v/>
      </c>
      <c r="I24" s="47">
        <f>B24*C24*D24*E24*1.25*1.35/27</f>
        <v/>
      </c>
      <c r="J24" s="51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</row>
    <row r="25" ht="13" customHeight="1" s="195">
      <c r="A25" s="48" t="n"/>
      <c r="B25" s="49" t="n"/>
      <c r="C25" s="50" t="n"/>
      <c r="D25" s="44">
        <f>C25</f>
        <v/>
      </c>
      <c r="E25" s="50" t="n"/>
      <c r="F25" s="45">
        <f>E25</f>
        <v/>
      </c>
      <c r="G25" s="46">
        <f>D25*C25*B25</f>
        <v/>
      </c>
      <c r="H25" s="47">
        <f>B25*C25*D25*E25*1.25/27</f>
        <v/>
      </c>
      <c r="I25" s="47">
        <f>B25*C25*D25*E25*1.25*1.35/27</f>
        <v/>
      </c>
      <c r="J25" s="51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</row>
    <row r="26" ht="13" customHeight="1" s="195">
      <c r="A26" s="48" t="n"/>
      <c r="B26" s="49" t="n"/>
      <c r="C26" s="50" t="n"/>
      <c r="D26" s="44">
        <f>C26</f>
        <v/>
      </c>
      <c r="E26" s="50" t="n"/>
      <c r="F26" s="45">
        <f>E26</f>
        <v/>
      </c>
      <c r="G26" s="46">
        <f>D26*C26*B26</f>
        <v/>
      </c>
      <c r="H26" s="47">
        <f>B26*C26*D26*E26*1.25/27</f>
        <v/>
      </c>
      <c r="I26" s="47">
        <f>B26*C26*D26*E26*1.25*1.35/27</f>
        <v/>
      </c>
      <c r="J26" s="51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</row>
    <row r="27" ht="13" customHeight="1" s="195">
      <c r="A27" s="48" t="n"/>
      <c r="B27" s="49" t="n"/>
      <c r="C27" s="50" t="n"/>
      <c r="D27" s="44">
        <f>C27</f>
        <v/>
      </c>
      <c r="E27" s="50" t="n"/>
      <c r="F27" s="45">
        <f>E27</f>
        <v/>
      </c>
      <c r="G27" s="46">
        <f>D27*C27*B27</f>
        <v/>
      </c>
      <c r="H27" s="47">
        <f>B27*C27*D27*E27*1.25/27</f>
        <v/>
      </c>
      <c r="I27" s="47">
        <f>B27*C27*D27*E27*1.25*1.35/27</f>
        <v/>
      </c>
      <c r="J27" s="51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</row>
    <row r="28" ht="13" customHeight="1" s="195">
      <c r="A28" s="48" t="n"/>
      <c r="B28" s="49" t="n"/>
      <c r="C28" s="50" t="n"/>
      <c r="D28" s="44">
        <f>C28</f>
        <v/>
      </c>
      <c r="E28" s="50" t="n"/>
      <c r="F28" s="45">
        <f>E28</f>
        <v/>
      </c>
      <c r="G28" s="46">
        <f>D28*C28*B28</f>
        <v/>
      </c>
      <c r="H28" s="47">
        <f>B28*C28*D28*E28*1.25/27</f>
        <v/>
      </c>
      <c r="I28" s="47">
        <f>B28*C28*D28*E28*1.25*1.35/27</f>
        <v/>
      </c>
      <c r="J28" s="51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</row>
    <row r="29" ht="13" customHeight="1" s="195">
      <c r="A29" s="48" t="n"/>
      <c r="B29" s="49" t="n"/>
      <c r="C29" s="50" t="n"/>
      <c r="D29" s="44">
        <f>C29</f>
        <v/>
      </c>
      <c r="E29" s="50" t="n"/>
      <c r="F29" s="45">
        <f>E29</f>
        <v/>
      </c>
      <c r="G29" s="46">
        <f>D29*C29*B29</f>
        <v/>
      </c>
      <c r="H29" s="47">
        <f>B29*C29*D29*E29*1.25/27</f>
        <v/>
      </c>
      <c r="I29" s="47">
        <f>B29*C29*D29*E29*1.25*1.35/27</f>
        <v/>
      </c>
      <c r="J29" s="51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</row>
    <row r="30" ht="13" customHeight="1" s="195">
      <c r="A30" s="48" t="n"/>
      <c r="B30" s="49" t="n"/>
      <c r="C30" s="50" t="n"/>
      <c r="D30" s="44">
        <f>C30</f>
        <v/>
      </c>
      <c r="E30" s="50" t="n"/>
      <c r="F30" s="45">
        <f>E30</f>
        <v/>
      </c>
      <c r="G30" s="46">
        <f>D30*C30*B30</f>
        <v/>
      </c>
      <c r="H30" s="47">
        <f>B30*C30*D30*E30*1.25/27</f>
        <v/>
      </c>
      <c r="I30" s="47">
        <f>B30*C30*D30*E30*1.25*1.35/27</f>
        <v/>
      </c>
      <c r="J30" s="51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</row>
    <row r="31" ht="13" customHeight="1" s="195">
      <c r="A31" s="48" t="n"/>
      <c r="B31" s="49" t="n"/>
      <c r="C31" s="50" t="n"/>
      <c r="D31" s="44">
        <f>C31</f>
        <v/>
      </c>
      <c r="E31" s="50" t="n"/>
      <c r="F31" s="45">
        <f>E31</f>
        <v/>
      </c>
      <c r="G31" s="46">
        <f>D31*C31*B31</f>
        <v/>
      </c>
      <c r="H31" s="47">
        <f>B31*C31*D31*E31*1.25/27</f>
        <v/>
      </c>
      <c r="I31" s="47">
        <f>B31*C31*D31*E31*1.25*1.35/27</f>
        <v/>
      </c>
      <c r="J31" s="51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</row>
    <row r="32" ht="13" customHeight="1" s="195">
      <c r="A32" s="48" t="n"/>
      <c r="B32" s="49" t="n"/>
      <c r="C32" s="50" t="n"/>
      <c r="D32" s="44">
        <f>C32</f>
        <v/>
      </c>
      <c r="E32" s="50" t="n"/>
      <c r="F32" s="45">
        <f>E32</f>
        <v/>
      </c>
      <c r="G32" s="46">
        <f>D32*C32*B32</f>
        <v/>
      </c>
      <c r="H32" s="47">
        <f>B32*C32*D32*E32*1.25/27</f>
        <v/>
      </c>
      <c r="I32" s="47">
        <f>B32*C32*D32*E32*1.25*1.35/27</f>
        <v/>
      </c>
      <c r="J32" s="51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</row>
    <row r="33" ht="13" customHeight="1" s="195">
      <c r="A33" s="42" t="n"/>
      <c r="B33" s="49" t="n"/>
      <c r="C33" s="50" t="n"/>
      <c r="D33" s="44">
        <f>C33</f>
        <v/>
      </c>
      <c r="E33" s="50" t="n"/>
      <c r="F33" s="45">
        <f>E33</f>
        <v/>
      </c>
      <c r="G33" s="46">
        <f>D33*C33*B33</f>
        <v/>
      </c>
      <c r="H33" s="47">
        <f>B33*C33*D33*E33*1.25/27</f>
        <v/>
      </c>
      <c r="I33" s="47">
        <f>B33*C33*D33*E33*1.25*1.35/27</f>
        <v/>
      </c>
      <c r="J33" s="51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</row>
    <row r="34" ht="13" customHeight="1" s="195">
      <c r="A34" s="42" t="n"/>
      <c r="B34" s="49" t="n"/>
      <c r="C34" s="50" t="n"/>
      <c r="D34" s="44">
        <f>C34</f>
        <v/>
      </c>
      <c r="E34" s="50" t="n"/>
      <c r="F34" s="45">
        <f>E34</f>
        <v/>
      </c>
      <c r="G34" s="46">
        <f>D34*C34*B34</f>
        <v/>
      </c>
      <c r="H34" s="47">
        <f>B34*C34*D34*E34*1.25/27</f>
        <v/>
      </c>
      <c r="I34" s="47">
        <f>B34*C34*D34*E34*1.25*1.35/27</f>
        <v/>
      </c>
      <c r="J34" s="51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</row>
    <row r="35" ht="13" customHeight="1" s="195">
      <c r="A35" s="42" t="n"/>
      <c r="B35" s="49" t="n"/>
      <c r="C35" s="50" t="n"/>
      <c r="D35" s="44">
        <f>C35</f>
        <v/>
      </c>
      <c r="E35" s="50" t="n"/>
      <c r="F35" s="45">
        <f>E35</f>
        <v/>
      </c>
      <c r="G35" s="46">
        <f>D35*C35*B35</f>
        <v/>
      </c>
      <c r="H35" s="47">
        <f>B35*C35*D35*E35*1.25/27</f>
        <v/>
      </c>
      <c r="I35" s="47">
        <f>B35*C35*D35*E35*1.25*1.35/27</f>
        <v/>
      </c>
      <c r="J35" s="51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</row>
    <row r="36" ht="13" customHeight="1" s="195">
      <c r="A36" s="42" t="n"/>
      <c r="B36" s="49" t="n"/>
      <c r="C36" s="50" t="n"/>
      <c r="D36" s="44">
        <f>C36</f>
        <v/>
      </c>
      <c r="E36" s="50" t="n"/>
      <c r="F36" s="45">
        <f>E36</f>
        <v/>
      </c>
      <c r="G36" s="46">
        <f>D36*C36*B36</f>
        <v/>
      </c>
      <c r="H36" s="47">
        <f>B36*C36*D36*E36*1.25/27</f>
        <v/>
      </c>
      <c r="I36" s="47">
        <f>B36*C36*D36*E36*1.25*1.35/27</f>
        <v/>
      </c>
      <c r="J36" s="51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</row>
    <row r="37" ht="13" customHeight="1" s="195">
      <c r="A37" s="42" t="n"/>
      <c r="B37" s="49" t="n"/>
      <c r="C37" s="50" t="n"/>
      <c r="D37" s="44">
        <f>C37</f>
        <v/>
      </c>
      <c r="E37" s="50" t="n"/>
      <c r="F37" s="45">
        <f>E37</f>
        <v/>
      </c>
      <c r="G37" s="46">
        <f>D37*C37*B37</f>
        <v/>
      </c>
      <c r="H37" s="47">
        <f>B37*C37*D37*E37*1.25/27</f>
        <v/>
      </c>
      <c r="I37" s="47">
        <f>B37*C37*D37*E37*1.25*1.35/27</f>
        <v/>
      </c>
      <c r="J37" s="51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</row>
    <row r="38" ht="14" customHeight="1" s="195" thickBot="1">
      <c r="A38" s="52" t="n"/>
      <c r="B38" s="53" t="n"/>
      <c r="C38" s="54" t="n"/>
      <c r="D38" s="55">
        <f>C38</f>
        <v/>
      </c>
      <c r="E38" s="54" t="n"/>
      <c r="F38" s="56">
        <f>E38</f>
        <v/>
      </c>
      <c r="G38" s="46">
        <f>D38*C38*B38</f>
        <v/>
      </c>
      <c r="H38" s="47">
        <f>B38*C38*D38*E38*1.25/27</f>
        <v/>
      </c>
      <c r="I38" s="47">
        <f>B38*C38*D38*E38*1.25*1.35/27</f>
        <v/>
      </c>
      <c r="J38" s="51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</row>
    <row r="39" ht="15" customHeight="1" s="195" thickBot="1" thickTop="1">
      <c r="A39" s="27" t="n"/>
      <c r="B39" s="51" t="n"/>
      <c r="C39" s="51" t="n"/>
      <c r="D39" s="57" t="n"/>
      <c r="E39" s="51" t="n"/>
      <c r="F39" s="51" t="n"/>
      <c r="G39" s="51" t="n"/>
      <c r="H39" s="51" t="n"/>
      <c r="I39" s="51" t="n"/>
      <c r="J39" s="51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</row>
    <row r="40" ht="20" customHeight="1" s="195" thickBot="1" thickTop="1">
      <c r="A40" s="27" t="n"/>
      <c r="B40" s="51" t="n"/>
      <c r="C40" s="51" t="n"/>
      <c r="D40" s="57" t="n"/>
      <c r="E40" s="58" t="inlineStr">
        <is>
          <t>TOTALS</t>
        </is>
      </c>
      <c r="F40" s="51" t="n"/>
      <c r="G40" s="59">
        <f>SUM(G9:G38)</f>
        <v/>
      </c>
      <c r="H40" s="60">
        <f>SUM(H9:H38)</f>
        <v/>
      </c>
      <c r="I40" s="60">
        <f>SUM(I9:I38)</f>
        <v/>
      </c>
      <c r="J40" s="51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</row>
    <row r="41" ht="19" customHeight="1" s="195" thickTop="1">
      <c r="A41" s="27" t="n"/>
      <c r="B41" s="51" t="n"/>
      <c r="C41" s="51" t="n"/>
      <c r="D41" s="57" t="n"/>
      <c r="E41" s="51" t="n"/>
      <c r="F41" s="51" t="n"/>
      <c r="G41" s="61" t="inlineStr">
        <is>
          <t>S.F</t>
        </is>
      </c>
      <c r="H41" s="61" t="inlineStr">
        <is>
          <t>C.Y.</t>
        </is>
      </c>
      <c r="I41" s="61" t="inlineStr">
        <is>
          <t>C.Y</t>
        </is>
      </c>
      <c r="J41" s="51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</row>
    <row r="42" ht="13" customHeight="1" s="195">
      <c r="A42" s="27" t="n"/>
      <c r="B42" s="51" t="n"/>
      <c r="C42" s="51" t="n"/>
      <c r="D42" s="57" t="n"/>
      <c r="E42" s="51" t="n"/>
      <c r="F42" s="51" t="n"/>
      <c r="G42" s="51" t="n"/>
      <c r="H42" s="51" t="n"/>
      <c r="I42" s="51" t="n"/>
      <c r="J42" s="51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</row>
    <row r="43" ht="13" customHeight="1" s="195">
      <c r="A43" s="27" t="n"/>
      <c r="B43" s="51" t="n"/>
      <c r="C43" s="51" t="n"/>
      <c r="D43" s="57" t="n"/>
      <c r="E43" s="51" t="n"/>
      <c r="F43" s="51" t="n"/>
      <c r="G43" s="51" t="n"/>
      <c r="H43" s="51" t="n"/>
      <c r="I43" s="51" t="n"/>
      <c r="J43" s="51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</row>
    <row r="44" ht="13" customHeight="1" s="195">
      <c r="A44" s="27" t="n"/>
      <c r="B44" s="51" t="n"/>
      <c r="C44" s="51" t="n"/>
      <c r="D44" s="57" t="n"/>
      <c r="E44" s="51" t="n"/>
      <c r="F44" s="51" t="n"/>
      <c r="G44" s="51" t="n"/>
      <c r="H44" s="51" t="n"/>
      <c r="I44" s="51" t="n"/>
      <c r="J44" s="51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</row>
    <row r="45" ht="24" customHeight="1" s="195" thickBot="1">
      <c r="A45" s="16" t="inlineStr">
        <is>
          <t>FOOTINGS - PAD TYPE - FORMED</t>
        </is>
      </c>
      <c r="B45" s="20" t="n"/>
      <c r="C45" s="16" t="n"/>
      <c r="D45" s="17" t="n"/>
      <c r="E45" s="16" t="n"/>
      <c r="F45" s="16" t="n"/>
      <c r="G45" s="16" t="n"/>
      <c r="H45" s="16" t="n"/>
      <c r="I45" s="16" t="n"/>
      <c r="J45" s="51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</row>
    <row r="46" ht="14" customHeight="1" s="195" thickTop="1">
      <c r="A46" s="31" t="n"/>
      <c r="B46" s="32" t="n"/>
      <c r="C46" s="33" t="n"/>
      <c r="D46" s="33" t="n"/>
      <c r="E46" s="33" t="n"/>
      <c r="F46" s="34" t="inlineStr">
        <is>
          <t>EXCV.</t>
        </is>
      </c>
      <c r="G46" s="35" t="inlineStr">
        <is>
          <t>S.F.</t>
        </is>
      </c>
      <c r="H46" s="35" t="inlineStr">
        <is>
          <t>CONCRETE</t>
        </is>
      </c>
      <c r="I46" s="35" t="inlineStr">
        <is>
          <t>FORMWORK</t>
        </is>
      </c>
      <c r="J46" s="35" t="inlineStr">
        <is>
          <t>EXCV. TOTAL</t>
        </is>
      </c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</row>
    <row r="47" ht="13" customHeight="1" s="195">
      <c r="A47" s="36" t="inlineStr">
        <is>
          <t>NOTES</t>
        </is>
      </c>
      <c r="B47" s="37" t="inlineStr">
        <is>
          <t>QUANTITY</t>
        </is>
      </c>
      <c r="C47" s="38" t="inlineStr">
        <is>
          <t>LENGTH</t>
        </is>
      </c>
      <c r="D47" s="38" t="inlineStr">
        <is>
          <t>WIDTH</t>
        </is>
      </c>
      <c r="E47" s="38" t="inlineStr">
        <is>
          <t>DEPTH</t>
        </is>
      </c>
      <c r="F47" s="39" t="inlineStr">
        <is>
          <t>DEPTH</t>
        </is>
      </c>
      <c r="G47" s="40" t="inlineStr">
        <is>
          <t>FINISH</t>
        </is>
      </c>
      <c r="H47" s="40" t="inlineStr">
        <is>
          <t>+10%</t>
        </is>
      </c>
      <c r="I47" s="62" t="inlineStr">
        <is>
          <t>2X12 + 5%</t>
        </is>
      </c>
      <c r="J47" s="40" t="inlineStr">
        <is>
          <t>35% FLUFF</t>
        </is>
      </c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</row>
    <row r="48" ht="13" customHeight="1" s="195">
      <c r="A48" s="42" t="n"/>
      <c r="B48" s="43" t="n"/>
      <c r="C48" s="44" t="n"/>
      <c r="D48" s="44">
        <f>C48</f>
        <v/>
      </c>
      <c r="E48" s="44" t="n"/>
      <c r="F48" s="45">
        <f>E48</f>
        <v/>
      </c>
      <c r="G48" s="46">
        <f>D48*C48*B48</f>
        <v/>
      </c>
      <c r="H48" s="47">
        <f>B48*C48*D48*E48*1.1/27</f>
        <v/>
      </c>
      <c r="I48" s="46">
        <f>B48*((C48*2)+(D48*2))*E48*2*1.05</f>
        <v/>
      </c>
      <c r="J48" s="47">
        <f>B48*(C48+2+F48)*(D48+2+F48)*F48*1.35/27</f>
        <v/>
      </c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</row>
    <row r="49" ht="13" customHeight="1" s="195">
      <c r="A49" s="42" t="n"/>
      <c r="B49" s="43" t="n"/>
      <c r="C49" s="44" t="n"/>
      <c r="D49" s="44">
        <f>C49</f>
        <v/>
      </c>
      <c r="E49" s="44" t="n"/>
      <c r="F49" s="45">
        <f>E49</f>
        <v/>
      </c>
      <c r="G49" s="46">
        <f>D49*C49*B49</f>
        <v/>
      </c>
      <c r="H49" s="47">
        <f>B49*C49*D49*E49*1.1/27</f>
        <v/>
      </c>
      <c r="I49" s="46">
        <f>B49*((C49*2)+(D49*2))*E49*2*1.05</f>
        <v/>
      </c>
      <c r="J49" s="47">
        <f>B49*(C49+2+F49)*(D49+2+F49)*F49*1.35/27</f>
        <v/>
      </c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</row>
    <row r="50" ht="13" customHeight="1" s="195">
      <c r="A50" s="42" t="n"/>
      <c r="B50" s="43" t="n"/>
      <c r="C50" s="44" t="n"/>
      <c r="D50" s="44">
        <f>C50</f>
        <v/>
      </c>
      <c r="E50" s="44" t="n"/>
      <c r="F50" s="45">
        <f>E50</f>
        <v/>
      </c>
      <c r="G50" s="46">
        <f>D50*C50*B50</f>
        <v/>
      </c>
      <c r="H50" s="47">
        <f>B50*C50*D50*E50*1.1/27</f>
        <v/>
      </c>
      <c r="I50" s="46">
        <f>B50*((C50*2)+(D50*2))*E50*2*1.05</f>
        <v/>
      </c>
      <c r="J50" s="47">
        <f>B50*(C50+2+F50)*(D50+2+F50)*F50*1.35/27</f>
        <v/>
      </c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</row>
    <row r="51" ht="13" customHeight="1" s="195">
      <c r="A51" s="42" t="n"/>
      <c r="B51" s="43" t="n"/>
      <c r="C51" s="44" t="n"/>
      <c r="D51" s="44">
        <f>C51</f>
        <v/>
      </c>
      <c r="E51" s="44" t="n"/>
      <c r="F51" s="45">
        <f>E51</f>
        <v/>
      </c>
      <c r="G51" s="46">
        <f>D51*C51*B51</f>
        <v/>
      </c>
      <c r="H51" s="47">
        <f>B51*C51*D51*E51*1.1/27</f>
        <v/>
      </c>
      <c r="I51" s="46">
        <f>B51*((C51*2)+(D51*2))*E51*2*1.05</f>
        <v/>
      </c>
      <c r="J51" s="47">
        <f>B51*(C51+2+F51)*(D51+2+F51)*F51*1.35/27</f>
        <v/>
      </c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</row>
    <row r="52" ht="13" customHeight="1" s="195">
      <c r="A52" s="48" t="n"/>
      <c r="B52" s="49" t="n"/>
      <c r="C52" s="50" t="n"/>
      <c r="D52" s="44">
        <f>C52</f>
        <v/>
      </c>
      <c r="E52" s="50" t="n"/>
      <c r="F52" s="45">
        <f>E52</f>
        <v/>
      </c>
      <c r="G52" s="46">
        <f>D52*C52*B52</f>
        <v/>
      </c>
      <c r="H52" s="47">
        <f>B52*C52*D52*E52*1.1/27</f>
        <v/>
      </c>
      <c r="I52" s="46">
        <f>B52*((C52*2)+(D52*2))*E52*2*1.05</f>
        <v/>
      </c>
      <c r="J52" s="47">
        <f>B52*(C52+2+F52)*(D52+2+F52)*F52*1.35/27</f>
        <v/>
      </c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</row>
    <row r="53" ht="13" customHeight="1" s="195">
      <c r="A53" s="48" t="n"/>
      <c r="B53" s="49" t="n"/>
      <c r="C53" s="50" t="n"/>
      <c r="D53" s="44">
        <f>C53</f>
        <v/>
      </c>
      <c r="E53" s="50" t="n"/>
      <c r="F53" s="45">
        <f>E53</f>
        <v/>
      </c>
      <c r="G53" s="46">
        <f>D53*C53*B53</f>
        <v/>
      </c>
      <c r="H53" s="47">
        <f>B53*C53*D53*E53*1.1/27</f>
        <v/>
      </c>
      <c r="I53" s="46">
        <f>B53*((C53*2)+(D53*2))*E53*2*1.05</f>
        <v/>
      </c>
      <c r="J53" s="47">
        <f>B53*(C53+2+F53)*(D53+2+F53)*F53*1.35/27</f>
        <v/>
      </c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</row>
    <row r="54" ht="13" customHeight="1" s="195">
      <c r="A54" s="48" t="n"/>
      <c r="B54" s="49" t="n"/>
      <c r="C54" s="50" t="n"/>
      <c r="D54" s="44">
        <f>C54</f>
        <v/>
      </c>
      <c r="E54" s="50" t="n"/>
      <c r="F54" s="45">
        <f>E54</f>
        <v/>
      </c>
      <c r="G54" s="46">
        <f>D54*C54*B54</f>
        <v/>
      </c>
      <c r="H54" s="47">
        <f>B54*C54*D54*E54*1.1/27</f>
        <v/>
      </c>
      <c r="I54" s="46">
        <f>B54*((C54*2)+(D54*2))*E54*2*1.05</f>
        <v/>
      </c>
      <c r="J54" s="47">
        <f>B54*(C54+2+F54)*(D54+2+F54)*F54*1.35/27</f>
        <v/>
      </c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</row>
    <row r="55" ht="13" customHeight="1" s="195">
      <c r="A55" s="48" t="n"/>
      <c r="B55" s="49" t="n"/>
      <c r="C55" s="50" t="n"/>
      <c r="D55" s="44">
        <f>C55</f>
        <v/>
      </c>
      <c r="E55" s="50" t="n"/>
      <c r="F55" s="45">
        <f>E55</f>
        <v/>
      </c>
      <c r="G55" s="46">
        <f>D55*C55*B55</f>
        <v/>
      </c>
      <c r="H55" s="47">
        <f>B55*C55*D55*E55*1.1/27</f>
        <v/>
      </c>
      <c r="I55" s="46">
        <f>B55*((C55*2)+(D55*2))*E55*2*1.05</f>
        <v/>
      </c>
      <c r="J55" s="47">
        <f>B55*(C55+2+F55)*(D55+2+F55)*F55*1.35/27</f>
        <v/>
      </c>
      <c r="K55" s="19" t="n"/>
      <c r="L55" s="19" t="n"/>
      <c r="M55" s="19" t="n"/>
      <c r="N55" s="19" t="n"/>
      <c r="O55" s="19" t="n"/>
      <c r="P55" s="19" t="n"/>
      <c r="Q55" s="19" t="n"/>
      <c r="R55" s="19" t="n"/>
      <c r="S55" s="19" t="n"/>
      <c r="T55" s="19" t="n"/>
      <c r="U55" s="19" t="n"/>
      <c r="V55" s="19" t="n"/>
      <c r="W55" s="19" t="n"/>
    </row>
    <row r="56" ht="13" customHeight="1" s="195">
      <c r="A56" s="48" t="n"/>
      <c r="B56" s="49" t="n"/>
      <c r="C56" s="50" t="n"/>
      <c r="D56" s="44">
        <f>C56</f>
        <v/>
      </c>
      <c r="E56" s="50" t="n"/>
      <c r="F56" s="45">
        <f>E56</f>
        <v/>
      </c>
      <c r="G56" s="46">
        <f>D56*C56*B56</f>
        <v/>
      </c>
      <c r="H56" s="47">
        <f>B56*C56*D56*E56*1.1/27</f>
        <v/>
      </c>
      <c r="I56" s="46">
        <f>B56*((C56*2)+(D56*2))*E56*2*1.05</f>
        <v/>
      </c>
      <c r="J56" s="47">
        <f>B56*(C56+2+F56)*(D56+2+F56)*F56*1.35/27</f>
        <v/>
      </c>
      <c r="K56" s="19" t="n"/>
      <c r="L56" s="19" t="n"/>
      <c r="M56" s="19" t="n"/>
      <c r="N56" s="19" t="n"/>
      <c r="O56" s="19" t="n"/>
      <c r="P56" s="19" t="n"/>
      <c r="Q56" s="19" t="n"/>
      <c r="R56" s="19" t="n"/>
      <c r="S56" s="19" t="n"/>
      <c r="T56" s="19" t="n"/>
      <c r="U56" s="19" t="n"/>
      <c r="V56" s="19" t="n"/>
      <c r="W56" s="19" t="n"/>
    </row>
    <row r="57" ht="13" customHeight="1" s="195">
      <c r="A57" s="48" t="n"/>
      <c r="B57" s="49" t="n"/>
      <c r="C57" s="50" t="n"/>
      <c r="D57" s="44">
        <f>C57</f>
        <v/>
      </c>
      <c r="E57" s="50" t="n"/>
      <c r="F57" s="45">
        <f>E57</f>
        <v/>
      </c>
      <c r="G57" s="46">
        <f>D57*C57*B57</f>
        <v/>
      </c>
      <c r="H57" s="47">
        <f>B57*C57*D57*E57*1.1/27</f>
        <v/>
      </c>
      <c r="I57" s="46">
        <f>B57*((C57*2)+(D57*2))*E57*2*1.05</f>
        <v/>
      </c>
      <c r="J57" s="47">
        <f>B57*(C57+2+F57)*(D57+2+F57)*F57*1.35/27</f>
        <v/>
      </c>
      <c r="K57" s="19" t="n"/>
      <c r="L57" s="19" t="n"/>
      <c r="M57" s="19" t="n"/>
      <c r="N57" s="19" t="n"/>
      <c r="O57" s="19" t="n"/>
      <c r="P57" s="19" t="n"/>
      <c r="Q57" s="19" t="n"/>
      <c r="R57" s="19" t="n"/>
      <c r="S57" s="19" t="n"/>
      <c r="T57" s="19" t="n"/>
      <c r="U57" s="19" t="n"/>
      <c r="V57" s="19" t="n"/>
      <c r="W57" s="19" t="n"/>
    </row>
    <row r="58" ht="13" customHeight="1" s="195">
      <c r="A58" s="48" t="n"/>
      <c r="B58" s="49" t="n"/>
      <c r="C58" s="50" t="n"/>
      <c r="D58" s="44">
        <f>C58</f>
        <v/>
      </c>
      <c r="E58" s="50" t="n"/>
      <c r="F58" s="45">
        <f>E58</f>
        <v/>
      </c>
      <c r="G58" s="46">
        <f>D58*C58*B58</f>
        <v/>
      </c>
      <c r="H58" s="47">
        <f>B58*C58*D58*E58*1.1/27</f>
        <v/>
      </c>
      <c r="I58" s="46">
        <f>B58*((C58*2)+(D58*2))*E58*2*1.05</f>
        <v/>
      </c>
      <c r="J58" s="47">
        <f>B58*(C58+2+F58)*(D58+2+F58)*F58*1.35/27</f>
        <v/>
      </c>
      <c r="K58" s="19" t="n"/>
      <c r="L58" s="19" t="n"/>
      <c r="M58" s="19" t="n"/>
      <c r="N58" s="19" t="n"/>
      <c r="O58" s="19" t="n"/>
      <c r="P58" s="19" t="n"/>
      <c r="Q58" s="19" t="n"/>
      <c r="R58" s="19" t="n"/>
      <c r="S58" s="19" t="n"/>
      <c r="T58" s="19" t="n"/>
      <c r="U58" s="19" t="n"/>
      <c r="V58" s="19" t="n"/>
      <c r="W58" s="19" t="n"/>
    </row>
    <row r="59" ht="13" customHeight="1" s="195">
      <c r="A59" s="48" t="n"/>
      <c r="B59" s="49" t="n"/>
      <c r="C59" s="50" t="n"/>
      <c r="D59" s="44">
        <f>C59</f>
        <v/>
      </c>
      <c r="E59" s="50" t="n"/>
      <c r="F59" s="45">
        <f>E59</f>
        <v/>
      </c>
      <c r="G59" s="46">
        <f>D59*C59*B59</f>
        <v/>
      </c>
      <c r="H59" s="47">
        <f>B59*C59*D59*E59*1.1/27</f>
        <v/>
      </c>
      <c r="I59" s="46">
        <f>B59*((C59*2)+(D59*2))*E59*2*1.05</f>
        <v/>
      </c>
      <c r="J59" s="47">
        <f>B59*(C59+2+F59)*(D59+2+F59)*F59*1.35/27</f>
        <v/>
      </c>
      <c r="K59" s="19" t="n"/>
      <c r="L59" s="19" t="n"/>
      <c r="M59" s="19" t="n"/>
      <c r="N59" s="19" t="n"/>
      <c r="O59" s="19" t="n"/>
      <c r="P59" s="19" t="n"/>
      <c r="Q59" s="19" t="n"/>
      <c r="R59" s="19" t="n"/>
      <c r="S59" s="19" t="n"/>
      <c r="T59" s="19" t="n"/>
      <c r="U59" s="19" t="n"/>
      <c r="V59" s="19" t="n"/>
      <c r="W59" s="19" t="n"/>
    </row>
    <row r="60" ht="13" customHeight="1" s="195">
      <c r="A60" s="48" t="n"/>
      <c r="B60" s="49" t="n"/>
      <c r="C60" s="50" t="n"/>
      <c r="D60" s="44">
        <f>C60</f>
        <v/>
      </c>
      <c r="E60" s="50" t="n"/>
      <c r="F60" s="45">
        <f>E60</f>
        <v/>
      </c>
      <c r="G60" s="46">
        <f>D60*C60*B60</f>
        <v/>
      </c>
      <c r="H60" s="47">
        <f>B60*C60*D60*E60*1.1/27</f>
        <v/>
      </c>
      <c r="I60" s="46">
        <f>B60*((C60*2)+(D60*2))*E60*2*1.05</f>
        <v/>
      </c>
      <c r="J60" s="47">
        <f>B60*(C60+2+F60)*(D60+2+F60)*F60*1.35/27</f>
        <v/>
      </c>
      <c r="K60" s="19" t="n"/>
      <c r="L60" s="19" t="n"/>
      <c r="M60" s="19" t="n"/>
      <c r="N60" s="19" t="n"/>
      <c r="O60" s="19" t="n"/>
      <c r="P60" s="19" t="n"/>
      <c r="Q60" s="19" t="n"/>
      <c r="R60" s="19" t="n"/>
      <c r="S60" s="19" t="n"/>
      <c r="T60" s="19" t="n"/>
      <c r="U60" s="19" t="n"/>
      <c r="V60" s="19" t="n"/>
      <c r="W60" s="19" t="n"/>
    </row>
    <row r="61" ht="13" customHeight="1" s="195">
      <c r="A61" s="48" t="n"/>
      <c r="B61" s="49" t="n"/>
      <c r="C61" s="50" t="n"/>
      <c r="D61" s="44">
        <f>C61</f>
        <v/>
      </c>
      <c r="E61" s="50" t="n"/>
      <c r="F61" s="45">
        <f>E61</f>
        <v/>
      </c>
      <c r="G61" s="46">
        <f>D61*C61*B61</f>
        <v/>
      </c>
      <c r="H61" s="47">
        <f>B61*C61*D61*E61*1.1/27</f>
        <v/>
      </c>
      <c r="I61" s="46">
        <f>B61*((C61*2)+(D61*2))*E61*2*1.05</f>
        <v/>
      </c>
      <c r="J61" s="47">
        <f>B61*(C61+2+F61)*(D61+2+F61)*F61*1.35/27</f>
        <v/>
      </c>
      <c r="K61" s="19" t="n"/>
      <c r="L61" s="19" t="n"/>
      <c r="M61" s="19" t="n"/>
      <c r="N61" s="19" t="n"/>
      <c r="O61" s="19" t="n"/>
      <c r="P61" s="19" t="n"/>
      <c r="Q61" s="19" t="n"/>
      <c r="R61" s="19" t="n"/>
      <c r="S61" s="19" t="n"/>
      <c r="T61" s="19" t="n"/>
      <c r="U61" s="19" t="n"/>
      <c r="V61" s="19" t="n"/>
      <c r="W61" s="19" t="n"/>
    </row>
    <row r="62" ht="13" customHeight="1" s="195">
      <c r="A62" s="48" t="n"/>
      <c r="B62" s="49" t="n"/>
      <c r="C62" s="50" t="n"/>
      <c r="D62" s="44">
        <f>C62</f>
        <v/>
      </c>
      <c r="E62" s="50" t="n"/>
      <c r="F62" s="45">
        <f>E62</f>
        <v/>
      </c>
      <c r="G62" s="46">
        <f>D62*C62*B62</f>
        <v/>
      </c>
      <c r="H62" s="47">
        <f>B62*C62*D62*E62*1.1/27</f>
        <v/>
      </c>
      <c r="I62" s="46">
        <f>B62*((C62*2)+(D62*2))*E62*2*1.05</f>
        <v/>
      </c>
      <c r="J62" s="47">
        <f>B62*(C62+2+F62)*(D62+2+F62)*F62*1.35/27</f>
        <v/>
      </c>
      <c r="K62" s="19" t="n"/>
      <c r="L62" s="19" t="n"/>
      <c r="M62" s="19" t="n"/>
      <c r="N62" s="19" t="n"/>
      <c r="O62" s="19" t="n"/>
      <c r="P62" s="19" t="n"/>
      <c r="Q62" s="19" t="n"/>
      <c r="R62" s="19" t="n"/>
      <c r="S62" s="19" t="n"/>
      <c r="T62" s="19" t="n"/>
      <c r="U62" s="19" t="n"/>
      <c r="V62" s="19" t="n"/>
      <c r="W62" s="19" t="n"/>
    </row>
    <row r="63" ht="13" customHeight="1" s="195">
      <c r="A63" s="48" t="n"/>
      <c r="B63" s="49" t="n"/>
      <c r="C63" s="50" t="n"/>
      <c r="D63" s="44">
        <f>C63</f>
        <v/>
      </c>
      <c r="E63" s="50" t="n"/>
      <c r="F63" s="45">
        <f>E63</f>
        <v/>
      </c>
      <c r="G63" s="46">
        <f>D63*C63*B63</f>
        <v/>
      </c>
      <c r="H63" s="47">
        <f>B63*C63*D63*E63*1.1/27</f>
        <v/>
      </c>
      <c r="I63" s="46">
        <f>B63*((C63*2)+(D63*2))*E63*2*1.05</f>
        <v/>
      </c>
      <c r="J63" s="47">
        <f>B63*(C63+2+F63)*(D63+2+F63)*F63*1.35/27</f>
        <v/>
      </c>
      <c r="K63" s="19" t="n"/>
      <c r="L63" s="19" t="n"/>
      <c r="M63" s="19" t="n"/>
      <c r="N63" s="19" t="n"/>
      <c r="O63" s="19" t="n"/>
      <c r="P63" s="19" t="n"/>
      <c r="Q63" s="19" t="n"/>
      <c r="R63" s="19" t="n"/>
      <c r="S63" s="19" t="n"/>
      <c r="T63" s="19" t="n"/>
      <c r="U63" s="19" t="n"/>
      <c r="V63" s="19" t="n"/>
      <c r="W63" s="19" t="n"/>
    </row>
    <row r="64" ht="13" customHeight="1" s="195">
      <c r="A64" s="48" t="n"/>
      <c r="B64" s="49" t="n"/>
      <c r="C64" s="50" t="n"/>
      <c r="D64" s="44">
        <f>C64</f>
        <v/>
      </c>
      <c r="E64" s="50" t="n"/>
      <c r="F64" s="45">
        <f>E64</f>
        <v/>
      </c>
      <c r="G64" s="46">
        <f>D64*C64*B64</f>
        <v/>
      </c>
      <c r="H64" s="47">
        <f>B64*C64*D64*E64*1.1/27</f>
        <v/>
      </c>
      <c r="I64" s="46">
        <f>B64*((C64*2)+(D64*2))*E64*2*1.05</f>
        <v/>
      </c>
      <c r="J64" s="47">
        <f>B64*(C64+2+F64)*(D64+2+F64)*F64*1.35/27</f>
        <v/>
      </c>
      <c r="K64" s="19" t="n"/>
      <c r="L64" s="19" t="n"/>
      <c r="M64" s="19" t="n"/>
      <c r="N64" s="19" t="n"/>
      <c r="O64" s="19" t="n"/>
      <c r="P64" s="19" t="n"/>
      <c r="Q64" s="19" t="n"/>
      <c r="R64" s="19" t="n"/>
      <c r="S64" s="19" t="n"/>
      <c r="T64" s="19" t="n"/>
      <c r="U64" s="19" t="n"/>
      <c r="V64" s="19" t="n"/>
      <c r="W64" s="19" t="n"/>
    </row>
    <row r="65" ht="13" customHeight="1" s="195">
      <c r="A65" s="48" t="n"/>
      <c r="B65" s="49" t="n"/>
      <c r="C65" s="50" t="n"/>
      <c r="D65" s="44">
        <f>C65</f>
        <v/>
      </c>
      <c r="E65" s="50" t="n"/>
      <c r="F65" s="45">
        <f>E65</f>
        <v/>
      </c>
      <c r="G65" s="46">
        <f>D65*C65*B65</f>
        <v/>
      </c>
      <c r="H65" s="47">
        <f>B65*C65*D65*E65*1.1/27</f>
        <v/>
      </c>
      <c r="I65" s="46">
        <f>B65*((C65*2)+(D65*2))*E65*2*1.05</f>
        <v/>
      </c>
      <c r="J65" s="47">
        <f>B65*(C65+2+F65)*(D65+2+F65)*F65*1.35/27</f>
        <v/>
      </c>
      <c r="K65" s="19" t="n"/>
      <c r="L65" s="19" t="n"/>
      <c r="M65" s="19" t="n"/>
      <c r="N65" s="19" t="n"/>
      <c r="O65" s="19" t="n"/>
      <c r="P65" s="19" t="n"/>
      <c r="Q65" s="19" t="n"/>
      <c r="R65" s="19" t="n"/>
      <c r="S65" s="19" t="n"/>
      <c r="T65" s="19" t="n"/>
      <c r="U65" s="19" t="n"/>
      <c r="V65" s="19" t="n"/>
      <c r="W65" s="19" t="n"/>
    </row>
    <row r="66" ht="13" customHeight="1" s="195">
      <c r="A66" s="48" t="n"/>
      <c r="B66" s="49" t="n"/>
      <c r="C66" s="50" t="n"/>
      <c r="D66" s="44">
        <f>C66</f>
        <v/>
      </c>
      <c r="E66" s="50" t="n"/>
      <c r="F66" s="45">
        <f>E66</f>
        <v/>
      </c>
      <c r="G66" s="46">
        <f>D66*C66*B66</f>
        <v/>
      </c>
      <c r="H66" s="47">
        <f>B66*C66*D66*E66*1.1/27</f>
        <v/>
      </c>
      <c r="I66" s="46">
        <f>B66*((C66*2)+(D66*2))*E66*2*1.05</f>
        <v/>
      </c>
      <c r="J66" s="47">
        <f>B66*(C66+2+F66)*(D66+2+F66)*F66*1.35/27</f>
        <v/>
      </c>
      <c r="K66" s="19" t="n"/>
      <c r="L66" s="19" t="n"/>
      <c r="M66" s="19" t="n"/>
      <c r="N66" s="19" t="n"/>
      <c r="O66" s="19" t="n"/>
      <c r="P66" s="19" t="n"/>
      <c r="Q66" s="19" t="n"/>
      <c r="R66" s="19" t="n"/>
      <c r="S66" s="19" t="n"/>
      <c r="T66" s="19" t="n"/>
      <c r="U66" s="19" t="n"/>
      <c r="V66" s="19" t="n"/>
      <c r="W66" s="19" t="n"/>
    </row>
    <row r="67" ht="13" customHeight="1" s="195">
      <c r="A67" s="48" t="n"/>
      <c r="B67" s="49" t="n"/>
      <c r="C67" s="50" t="n"/>
      <c r="D67" s="44">
        <f>C67</f>
        <v/>
      </c>
      <c r="E67" s="50" t="n"/>
      <c r="F67" s="45">
        <f>E67</f>
        <v/>
      </c>
      <c r="G67" s="46">
        <f>D67*C67*B67</f>
        <v/>
      </c>
      <c r="H67" s="47">
        <f>B67*C67*D67*E67*1.1/27</f>
        <v/>
      </c>
      <c r="I67" s="46">
        <f>B67*((C67*2)+(D67*2))*E67*2*1.05</f>
        <v/>
      </c>
      <c r="J67" s="47">
        <f>B67*(C67+2+F67)*(D67+2+F67)*F67*1.35/27</f>
        <v/>
      </c>
      <c r="K67" s="19" t="n"/>
      <c r="L67" s="19" t="n"/>
      <c r="M67" s="19" t="n"/>
      <c r="N67" s="19" t="n"/>
      <c r="O67" s="19" t="n"/>
      <c r="P67" s="19" t="n"/>
      <c r="Q67" s="19" t="n"/>
      <c r="R67" s="19" t="n"/>
      <c r="S67" s="19" t="n"/>
      <c r="T67" s="19" t="n"/>
      <c r="U67" s="19" t="n"/>
      <c r="V67" s="19" t="n"/>
      <c r="W67" s="19" t="n"/>
    </row>
    <row r="68" ht="13" customHeight="1" s="195">
      <c r="A68" s="48" t="n"/>
      <c r="B68" s="49" t="n"/>
      <c r="C68" s="50" t="n"/>
      <c r="D68" s="44">
        <f>C68</f>
        <v/>
      </c>
      <c r="E68" s="50" t="n"/>
      <c r="F68" s="45">
        <f>E68</f>
        <v/>
      </c>
      <c r="G68" s="46">
        <f>D68*C68*B68</f>
        <v/>
      </c>
      <c r="H68" s="47">
        <f>B68*C68*D68*E68*1.1/27</f>
        <v/>
      </c>
      <c r="I68" s="46">
        <f>B68*((C68*2)+(D68*2))*E68*2*1.05</f>
        <v/>
      </c>
      <c r="J68" s="47">
        <f>B68*(C68+2+F68)*(D68+2+F68)*F68*1.35/27</f>
        <v/>
      </c>
      <c r="K68" s="19" t="n"/>
      <c r="L68" s="19" t="n"/>
      <c r="M68" s="19" t="n"/>
      <c r="N68" s="19" t="n"/>
      <c r="O68" s="19" t="n"/>
      <c r="P68" s="19" t="n"/>
      <c r="Q68" s="19" t="n"/>
      <c r="R68" s="19" t="n"/>
      <c r="S68" s="19" t="n"/>
      <c r="T68" s="19" t="n"/>
      <c r="U68" s="19" t="n"/>
      <c r="V68" s="19" t="n"/>
      <c r="W68" s="19" t="n"/>
    </row>
    <row r="69" ht="13" customHeight="1" s="195">
      <c r="A69" s="48" t="n"/>
      <c r="B69" s="49" t="n"/>
      <c r="C69" s="50" t="n"/>
      <c r="D69" s="44">
        <f>C69</f>
        <v/>
      </c>
      <c r="E69" s="50" t="n"/>
      <c r="F69" s="45">
        <f>E69</f>
        <v/>
      </c>
      <c r="G69" s="46">
        <f>D69*C69*B69</f>
        <v/>
      </c>
      <c r="H69" s="47">
        <f>B69*C69*D69*E69*1.1/27</f>
        <v/>
      </c>
      <c r="I69" s="46">
        <f>B69*((C69*2)+(D69*2))*E69*2*1.05</f>
        <v/>
      </c>
      <c r="J69" s="47">
        <f>B69*(C69+2+F69)*(D69+2+F69)*F69*1.35/27</f>
        <v/>
      </c>
      <c r="K69" s="19" t="n"/>
      <c r="L69" s="19" t="n"/>
      <c r="M69" s="19" t="n"/>
      <c r="N69" s="19" t="n"/>
      <c r="O69" s="19" t="n"/>
      <c r="P69" s="19" t="n"/>
      <c r="Q69" s="19" t="n"/>
      <c r="R69" s="19" t="n"/>
      <c r="S69" s="19" t="n"/>
      <c r="T69" s="19" t="n"/>
      <c r="U69" s="19" t="n"/>
      <c r="V69" s="19" t="n"/>
      <c r="W69" s="19" t="n"/>
    </row>
    <row r="70" ht="13" customHeight="1" s="195">
      <c r="A70" s="48" t="n"/>
      <c r="B70" s="49" t="n"/>
      <c r="C70" s="50" t="n"/>
      <c r="D70" s="44">
        <f>C70</f>
        <v/>
      </c>
      <c r="E70" s="50" t="n"/>
      <c r="F70" s="45">
        <f>E70</f>
        <v/>
      </c>
      <c r="G70" s="46">
        <f>D70*C70*B70</f>
        <v/>
      </c>
      <c r="H70" s="47">
        <f>B70*C70*D70*E70*1.1/27</f>
        <v/>
      </c>
      <c r="I70" s="46">
        <f>B70*((C70*2)+(D70*2))*E70*2*1.05</f>
        <v/>
      </c>
      <c r="J70" s="47">
        <f>B70*(C70+2+F70)*(D70+2+F70)*F70*1.35/27</f>
        <v/>
      </c>
    </row>
    <row r="71" ht="13" customHeight="1" s="195">
      <c r="A71" s="48" t="n"/>
      <c r="B71" s="49" t="n"/>
      <c r="C71" s="50" t="n"/>
      <c r="D71" s="44">
        <f>C71</f>
        <v/>
      </c>
      <c r="E71" s="50" t="n"/>
      <c r="F71" s="45">
        <f>E71</f>
        <v/>
      </c>
      <c r="G71" s="46">
        <f>D71*C71*B71</f>
        <v/>
      </c>
      <c r="H71" s="47">
        <f>B71*C71*D71*E71*1.1/27</f>
        <v/>
      </c>
      <c r="I71" s="46">
        <f>B71*((C71*2)+(D71*2))*E71*2*1.05</f>
        <v/>
      </c>
      <c r="J71" s="47">
        <f>B71*(C71+2+F71)*(D71+2+F71)*F71*1.35/27</f>
        <v/>
      </c>
    </row>
    <row r="72" ht="13" customHeight="1" s="195">
      <c r="A72" s="42" t="n"/>
      <c r="B72" s="49" t="n"/>
      <c r="C72" s="50" t="n"/>
      <c r="D72" s="44">
        <f>C72</f>
        <v/>
      </c>
      <c r="E72" s="50" t="n"/>
      <c r="F72" s="45">
        <f>E72</f>
        <v/>
      </c>
      <c r="G72" s="46">
        <f>D72*C72*B72</f>
        <v/>
      </c>
      <c r="H72" s="47">
        <f>B72*C72*D72*E72*1.1/27</f>
        <v/>
      </c>
      <c r="I72" s="46">
        <f>B72*((C72*2)+(D72*2))*E72*2*1.05</f>
        <v/>
      </c>
      <c r="J72" s="47">
        <f>B72*(C72+2+F72)*(D72+2+F72)*F72*1.35/27</f>
        <v/>
      </c>
    </row>
    <row r="73" ht="13" customHeight="1" s="195">
      <c r="A73" s="42" t="n"/>
      <c r="B73" s="49" t="n"/>
      <c r="C73" s="50" t="n"/>
      <c r="D73" s="44">
        <f>C73</f>
        <v/>
      </c>
      <c r="E73" s="50" t="n"/>
      <c r="F73" s="45">
        <f>E73</f>
        <v/>
      </c>
      <c r="G73" s="46">
        <f>D73*C73*B73</f>
        <v/>
      </c>
      <c r="H73" s="47">
        <f>B73*C73*D73*E73*1.1/27</f>
        <v/>
      </c>
      <c r="I73" s="46">
        <f>B73*((C73*2)+(D73*2))*E73*2*1.05</f>
        <v/>
      </c>
      <c r="J73" s="47">
        <f>B73*(C73+2+F73)*(D73+2+F73)*F73*1.35/27</f>
        <v/>
      </c>
    </row>
    <row r="74" ht="13" customHeight="1" s="195">
      <c r="A74" s="42" t="n"/>
      <c r="B74" s="49" t="n"/>
      <c r="C74" s="50" t="n"/>
      <c r="D74" s="44">
        <f>C74</f>
        <v/>
      </c>
      <c r="E74" s="50" t="n"/>
      <c r="F74" s="45">
        <f>E74</f>
        <v/>
      </c>
      <c r="G74" s="46">
        <f>D74*C74*B74</f>
        <v/>
      </c>
      <c r="H74" s="47">
        <f>B74*C74*D74*E74*1.1/27</f>
        <v/>
      </c>
      <c r="I74" s="46">
        <f>B74*((C74*2)+(D74*2))*E74*2*1.05</f>
        <v/>
      </c>
      <c r="J74" s="47">
        <f>B74*(C74+2+F74)*(D74+2+F74)*F74*1.35/27</f>
        <v/>
      </c>
    </row>
    <row r="75" ht="13" customHeight="1" s="195">
      <c r="A75" s="42" t="n"/>
      <c r="B75" s="49" t="n"/>
      <c r="C75" s="50" t="n"/>
      <c r="D75" s="44">
        <f>C75</f>
        <v/>
      </c>
      <c r="E75" s="50" t="n"/>
      <c r="F75" s="45">
        <f>E75</f>
        <v/>
      </c>
      <c r="G75" s="46">
        <f>D75*C75*B75</f>
        <v/>
      </c>
      <c r="H75" s="47">
        <f>B75*C75*D75*E75*1.1/27</f>
        <v/>
      </c>
      <c r="I75" s="46">
        <f>B75*((C75*2)+(D75*2))*E75*2*1.05</f>
        <v/>
      </c>
      <c r="J75" s="47">
        <f>B75*(C75+2+F75)*(D75+2+F75)*F75*1.35/27</f>
        <v/>
      </c>
    </row>
    <row r="76" ht="13" customHeight="1" s="195">
      <c r="A76" s="42" t="n"/>
      <c r="B76" s="49" t="n"/>
      <c r="C76" s="50" t="n"/>
      <c r="D76" s="44">
        <f>C76</f>
        <v/>
      </c>
      <c r="E76" s="50" t="n"/>
      <c r="F76" s="45">
        <f>E76</f>
        <v/>
      </c>
      <c r="G76" s="46">
        <f>D76*C76*B76</f>
        <v/>
      </c>
      <c r="H76" s="47">
        <f>B76*C76*D76*E76*1.1/27</f>
        <v/>
      </c>
      <c r="I76" s="46">
        <f>B76*((C76*2)+(D76*2))*E76*2*1.05</f>
        <v/>
      </c>
      <c r="J76" s="47">
        <f>B76*(C76+2+F76)*(D76+2+F76)*F76*1.35/27</f>
        <v/>
      </c>
    </row>
    <row r="77" ht="14" customHeight="1" s="195" thickBot="1">
      <c r="A77" s="52" t="n"/>
      <c r="B77" s="53" t="n"/>
      <c r="C77" s="54" t="n"/>
      <c r="D77" s="55">
        <f>C77</f>
        <v/>
      </c>
      <c r="E77" s="54" t="n"/>
      <c r="F77" s="56">
        <f>E77</f>
        <v/>
      </c>
      <c r="G77" s="46">
        <f>D77*C77*B77</f>
        <v/>
      </c>
      <c r="H77" s="47">
        <f>B77*C77*D77*E77*1.1/27</f>
        <v/>
      </c>
      <c r="I77" s="46">
        <f>B77*((C77*2)+(D77*2))*E77*2*1.05</f>
        <v/>
      </c>
      <c r="J77" s="47">
        <f>B77*(C77+2+F77)*(D77+2+F77)*F77*1.35/27</f>
        <v/>
      </c>
    </row>
    <row r="78" ht="15" customHeight="1" s="195" thickBot="1" thickTop="1">
      <c r="A78" s="27" t="n"/>
      <c r="B78" s="51" t="n"/>
      <c r="C78" s="51" t="n"/>
      <c r="D78" s="57" t="n"/>
      <c r="E78" s="51" t="n"/>
      <c r="F78" s="51" t="n"/>
      <c r="G78" s="51" t="n"/>
      <c r="H78" s="51" t="n"/>
      <c r="I78" s="51" t="n"/>
      <c r="J78" s="51" t="n"/>
    </row>
    <row r="79" ht="20" customHeight="1" s="195" thickBot="1" thickTop="1">
      <c r="A79" s="27" t="n"/>
      <c r="B79" s="51" t="n"/>
      <c r="C79" s="51" t="n"/>
      <c r="D79" s="57" t="n"/>
      <c r="E79" s="58" t="inlineStr">
        <is>
          <t>TOTALS</t>
        </is>
      </c>
      <c r="F79" s="51" t="n"/>
      <c r="G79" s="59">
        <f>SUM(G48:G77)</f>
        <v/>
      </c>
      <c r="H79" s="60">
        <f>SUM(H48:H77)</f>
        <v/>
      </c>
      <c r="I79" s="63">
        <f>SUM(I48:I77)</f>
        <v/>
      </c>
      <c r="J79" s="60">
        <f>SUM(J48:J77)</f>
        <v/>
      </c>
    </row>
    <row r="80" ht="19" customHeight="1" s="195" thickTop="1">
      <c r="A80" s="27" t="n"/>
      <c r="B80" s="51" t="n"/>
      <c r="C80" s="51" t="n"/>
      <c r="D80" s="57" t="n"/>
      <c r="E80" s="51" t="n"/>
      <c r="F80" s="51" t="n"/>
      <c r="G80" s="61" t="inlineStr">
        <is>
          <t>S.F</t>
        </is>
      </c>
      <c r="H80" s="61" t="inlineStr">
        <is>
          <t>C.Y.</t>
        </is>
      </c>
      <c r="I80" s="61" t="inlineStr">
        <is>
          <t>B.F</t>
        </is>
      </c>
      <c r="J80" s="61" t="inlineStr">
        <is>
          <t>C.Y</t>
        </is>
      </c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</row>
    <row r="84" ht="24" customHeight="1" s="195" thickBot="1">
      <c r="A84" s="16" t="inlineStr">
        <is>
          <t>FOOTINGS - CONTINUOUS - FORMED</t>
        </is>
      </c>
      <c r="B84" s="20" t="n"/>
      <c r="C84" s="16" t="n"/>
      <c r="D84" s="17" t="n"/>
      <c r="E84" s="16" t="n"/>
      <c r="F84" s="16" t="n"/>
      <c r="G84" s="16" t="n"/>
      <c r="H84" s="16" t="n"/>
      <c r="I84" s="16" t="n"/>
      <c r="J84" s="51" t="n"/>
    </row>
    <row r="85" ht="14" customHeight="1" s="195" thickTop="1">
      <c r="A85" s="31" t="n"/>
      <c r="B85" s="32" t="n"/>
      <c r="C85" s="33" t="n"/>
      <c r="D85" s="33" t="n"/>
      <c r="E85" s="33" t="n"/>
      <c r="F85" s="34" t="inlineStr">
        <is>
          <t>EXCV.</t>
        </is>
      </c>
      <c r="G85" s="35" t="inlineStr">
        <is>
          <t>S.F.</t>
        </is>
      </c>
      <c r="H85" s="35" t="inlineStr">
        <is>
          <t>CONCRETE</t>
        </is>
      </c>
      <c r="I85" s="35" t="inlineStr">
        <is>
          <t>FORMWORK</t>
        </is>
      </c>
      <c r="J85" s="35" t="inlineStr">
        <is>
          <t>EXCV. TOTAL</t>
        </is>
      </c>
    </row>
    <row r="86" ht="13" customHeight="1" s="195">
      <c r="A86" s="36" t="inlineStr">
        <is>
          <t>NOTES</t>
        </is>
      </c>
      <c r="B86" s="37" t="inlineStr">
        <is>
          <t>QUANTITY</t>
        </is>
      </c>
      <c r="C86" s="38" t="inlineStr">
        <is>
          <t>LENGTH</t>
        </is>
      </c>
      <c r="D86" s="38" t="inlineStr">
        <is>
          <t>WIDTH</t>
        </is>
      </c>
      <c r="E86" s="38" t="inlineStr">
        <is>
          <t>DEPTH</t>
        </is>
      </c>
      <c r="F86" s="39" t="inlineStr">
        <is>
          <t>DEPTH</t>
        </is>
      </c>
      <c r="G86" s="40" t="inlineStr">
        <is>
          <t>FINISH</t>
        </is>
      </c>
      <c r="H86" s="40" t="inlineStr">
        <is>
          <t>+10%</t>
        </is>
      </c>
      <c r="I86" s="62" t="inlineStr">
        <is>
          <t>2X12 + 5%</t>
        </is>
      </c>
      <c r="J86" s="40" t="inlineStr">
        <is>
          <t>35% FLUFF</t>
        </is>
      </c>
    </row>
    <row r="87" ht="13" customHeight="1" s="195">
      <c r="A87" s="42" t="n"/>
      <c r="B87" s="43" t="n"/>
      <c r="C87" s="44" t="n"/>
      <c r="D87" s="44" t="n"/>
      <c r="E87" s="44" t="n"/>
      <c r="F87" s="45">
        <f>E87</f>
        <v/>
      </c>
      <c r="G87" s="46">
        <f>D87*C87*B87</f>
        <v/>
      </c>
      <c r="H87" s="47">
        <f>B87*C87*D87*E87*1.1/27</f>
        <v/>
      </c>
      <c r="I87" s="46">
        <f>B87*((C87*2)+(D87*2))*E87*2*1.05</f>
        <v/>
      </c>
      <c r="J87" s="47">
        <f>B87*(C87+2+F87)*(D87+2+F87)*F87*1.35/27</f>
        <v/>
      </c>
    </row>
    <row r="88" ht="13" customHeight="1" s="195">
      <c r="A88" s="42" t="n"/>
      <c r="B88" s="43" t="n"/>
      <c r="C88" s="44" t="n"/>
      <c r="D88" s="44" t="n"/>
      <c r="E88" s="44" t="n"/>
      <c r="F88" s="45">
        <f>E88</f>
        <v/>
      </c>
      <c r="G88" s="46">
        <f>D88*C88*B88</f>
        <v/>
      </c>
      <c r="H88" s="47">
        <f>B88*C88*D88*E88*1.1/27</f>
        <v/>
      </c>
      <c r="I88" s="46">
        <f>B88*((C88*2)+(D88*2))*E88*2*1.05</f>
        <v/>
      </c>
      <c r="J88" s="47">
        <f>B88*(C88+2+F88)*(D88+2+F88)*F88*1.35/27</f>
        <v/>
      </c>
    </row>
    <row r="89" ht="13" customHeight="1" s="195">
      <c r="A89" s="42" t="n"/>
      <c r="B89" s="43" t="n"/>
      <c r="C89" s="44" t="n"/>
      <c r="D89" s="44" t="n"/>
      <c r="E89" s="44" t="n"/>
      <c r="F89" s="45">
        <f>E89</f>
        <v/>
      </c>
      <c r="G89" s="46">
        <f>D89*C89*B89</f>
        <v/>
      </c>
      <c r="H89" s="47">
        <f>B89*C89*D89*E89*1.1/27</f>
        <v/>
      </c>
      <c r="I89" s="46">
        <f>B89*((C89*2)+(D89*2))*E89*2*1.05</f>
        <v/>
      </c>
      <c r="J89" s="47">
        <f>B89*(C89+2+F89)*(D89+2+F89)*F89*1.35/27</f>
        <v/>
      </c>
    </row>
    <row r="90" ht="13" customHeight="1" s="195">
      <c r="A90" s="42" t="n"/>
      <c r="B90" s="43" t="n"/>
      <c r="C90" s="44" t="n"/>
      <c r="D90" s="44" t="n"/>
      <c r="E90" s="44" t="n"/>
      <c r="F90" s="45">
        <f>E90</f>
        <v/>
      </c>
      <c r="G90" s="46">
        <f>D90*C90*B90</f>
        <v/>
      </c>
      <c r="H90" s="47">
        <f>B90*C90*D90*E90*1.1/27</f>
        <v/>
      </c>
      <c r="I90" s="46">
        <f>B90*((C90*2)+(D90*2))*E90*2*1.05</f>
        <v/>
      </c>
      <c r="J90" s="47">
        <f>B90*(C90+2+F90)*(D90+2+F90)*F90*1.35/27</f>
        <v/>
      </c>
    </row>
    <row r="91" ht="13" customHeight="1" s="195">
      <c r="A91" s="48" t="n"/>
      <c r="B91" s="49" t="n"/>
      <c r="C91" s="50" t="n"/>
      <c r="D91" s="44" t="n"/>
      <c r="E91" s="50" t="n"/>
      <c r="F91" s="45">
        <f>E91</f>
        <v/>
      </c>
      <c r="G91" s="46">
        <f>D91*C91*B91</f>
        <v/>
      </c>
      <c r="H91" s="47">
        <f>B91*C91*D91*E91*1.1/27</f>
        <v/>
      </c>
      <c r="I91" s="46">
        <f>B91*((C91*2)+(D91*2))*E91*2*1.05</f>
        <v/>
      </c>
      <c r="J91" s="47">
        <f>B91*(C91+2+F91)*(D91+2+F91)*F91*1.35/27</f>
        <v/>
      </c>
    </row>
    <row r="92" ht="13" customHeight="1" s="195">
      <c r="A92" s="48" t="n"/>
      <c r="B92" s="49" t="n"/>
      <c r="C92" s="50" t="n"/>
      <c r="D92" s="44" t="n"/>
      <c r="E92" s="50" t="n"/>
      <c r="F92" s="45">
        <f>E92</f>
        <v/>
      </c>
      <c r="G92" s="46">
        <f>D92*C92*B92</f>
        <v/>
      </c>
      <c r="H92" s="47">
        <f>B92*C92*D92*E92*1.1/27</f>
        <v/>
      </c>
      <c r="I92" s="46">
        <f>B92*((C92*2)+(D92*2))*E92*2*1.05</f>
        <v/>
      </c>
      <c r="J92" s="47">
        <f>B92*(C92+2+F92)*(D92+2+F92)*F92*1.35/27</f>
        <v/>
      </c>
    </row>
    <row r="93" ht="13" customHeight="1" s="195">
      <c r="A93" s="48" t="n"/>
      <c r="B93" s="49" t="n"/>
      <c r="C93" s="50" t="n"/>
      <c r="D93" s="44" t="n"/>
      <c r="E93" s="50" t="n"/>
      <c r="F93" s="45">
        <f>E93</f>
        <v/>
      </c>
      <c r="G93" s="46">
        <f>D93*C93*B93</f>
        <v/>
      </c>
      <c r="H93" s="47">
        <f>B93*C93*D93*E93*1.1/27</f>
        <v/>
      </c>
      <c r="I93" s="46">
        <f>B93*((C93*2)+(D93*2))*E93*2*1.05</f>
        <v/>
      </c>
      <c r="J93" s="47">
        <f>B93*(C93+2+F93)*(D93+2+F93)*F93*1.35/27</f>
        <v/>
      </c>
    </row>
    <row r="94" ht="13" customHeight="1" s="195">
      <c r="A94" s="48" t="n"/>
      <c r="B94" s="49" t="n"/>
      <c r="C94" s="50" t="n"/>
      <c r="D94" s="44" t="n"/>
      <c r="E94" s="50" t="n"/>
      <c r="F94" s="45">
        <f>E94</f>
        <v/>
      </c>
      <c r="G94" s="46">
        <f>D94*C94*B94</f>
        <v/>
      </c>
      <c r="H94" s="47">
        <f>B94*C94*D94*E94*1.1/27</f>
        <v/>
      </c>
      <c r="I94" s="46">
        <f>B94*((C94*2)+(D94*2))*E94*2*1.05</f>
        <v/>
      </c>
      <c r="J94" s="47">
        <f>B94*(C94+2+F94)*(D94+2+F94)*F94*1.35/27</f>
        <v/>
      </c>
    </row>
    <row r="95" ht="13" customHeight="1" s="195">
      <c r="A95" s="48" t="n"/>
      <c r="B95" s="49" t="n"/>
      <c r="C95" s="50" t="n"/>
      <c r="D95" s="44" t="n"/>
      <c r="E95" s="50" t="n"/>
      <c r="F95" s="45">
        <f>E95</f>
        <v/>
      </c>
      <c r="G95" s="46">
        <f>D95*C95*B95</f>
        <v/>
      </c>
      <c r="H95" s="47">
        <f>B95*C95*D95*E95*1.1/27</f>
        <v/>
      </c>
      <c r="I95" s="46">
        <f>B95*((C95*2)+(D95*2))*E95*2*1.05</f>
        <v/>
      </c>
      <c r="J95" s="47">
        <f>B95*(C95+2+F95)*(D95+2+F95)*F95*1.35/27</f>
        <v/>
      </c>
    </row>
    <row r="96" ht="13" customHeight="1" s="195">
      <c r="A96" s="48" t="n"/>
      <c r="B96" s="49" t="n"/>
      <c r="C96" s="50" t="n"/>
      <c r="D96" s="44" t="n"/>
      <c r="E96" s="50" t="n"/>
      <c r="F96" s="45">
        <f>E96</f>
        <v/>
      </c>
      <c r="G96" s="46">
        <f>D96*C96*B96</f>
        <v/>
      </c>
      <c r="H96" s="47">
        <f>B96*C96*D96*E96*1.1/27</f>
        <v/>
      </c>
      <c r="I96" s="46">
        <f>B96*((C96*2)+(D96*2))*E96*2*1.05</f>
        <v/>
      </c>
      <c r="J96" s="47">
        <f>B96*(C96+2+F96)*(D96+2+F96)*F96*1.35/27</f>
        <v/>
      </c>
    </row>
    <row r="97" ht="13" customHeight="1" s="195">
      <c r="A97" s="48" t="n"/>
      <c r="B97" s="49" t="n"/>
      <c r="C97" s="50" t="n"/>
      <c r="D97" s="44" t="n"/>
      <c r="E97" s="50" t="n"/>
      <c r="F97" s="45">
        <f>E97</f>
        <v/>
      </c>
      <c r="G97" s="46">
        <f>D97*C97*B97</f>
        <v/>
      </c>
      <c r="H97" s="47">
        <f>B97*C97*D97*E97*1.1/27</f>
        <v/>
      </c>
      <c r="I97" s="46">
        <f>B97*((C97*2)+(D97*2))*E97*2*1.05</f>
        <v/>
      </c>
      <c r="J97" s="47">
        <f>B97*(C97+2+F97)*(D97+2+F97)*F97*1.35/27</f>
        <v/>
      </c>
    </row>
    <row r="98" ht="13" customHeight="1" s="195">
      <c r="A98" s="48" t="n"/>
      <c r="B98" s="49" t="n"/>
      <c r="C98" s="50" t="n"/>
      <c r="D98" s="44" t="n"/>
      <c r="E98" s="50" t="n"/>
      <c r="F98" s="45">
        <f>E98</f>
        <v/>
      </c>
      <c r="G98" s="46">
        <f>D98*C98*B98</f>
        <v/>
      </c>
      <c r="H98" s="47">
        <f>B98*C98*D98*E98*1.1/27</f>
        <v/>
      </c>
      <c r="I98" s="46">
        <f>B98*((C98*2)+(D98*2))*E98*2*1.05</f>
        <v/>
      </c>
      <c r="J98" s="47">
        <f>B98*(C98+2+F98)*(D98+2+F98)*F98*1.35/27</f>
        <v/>
      </c>
    </row>
    <row r="99" ht="13" customHeight="1" s="195">
      <c r="A99" s="48" t="n"/>
      <c r="B99" s="49" t="n"/>
      <c r="C99" s="50" t="n"/>
      <c r="D99" s="44" t="n"/>
      <c r="E99" s="50" t="n"/>
      <c r="F99" s="45">
        <f>E99</f>
        <v/>
      </c>
      <c r="G99" s="46">
        <f>D99*C99*B99</f>
        <v/>
      </c>
      <c r="H99" s="47">
        <f>B99*C99*D99*E99*1.1/27</f>
        <v/>
      </c>
      <c r="I99" s="46">
        <f>B99*((C99*2)+(D99*2))*E99*2*1.05</f>
        <v/>
      </c>
      <c r="J99" s="47">
        <f>B99*(C99+2+F99)*(D99+2+F99)*F99*1.35/27</f>
        <v/>
      </c>
    </row>
    <row r="100" ht="13" customHeight="1" s="195">
      <c r="A100" s="48" t="n"/>
      <c r="B100" s="49" t="n"/>
      <c r="C100" s="50" t="n"/>
      <c r="D100" s="44" t="n"/>
      <c r="E100" s="50" t="n"/>
      <c r="F100" s="45">
        <f>E100</f>
        <v/>
      </c>
      <c r="G100" s="46">
        <f>D100*C100*B100</f>
        <v/>
      </c>
      <c r="H100" s="47">
        <f>B100*C100*D100*E100*1.1/27</f>
        <v/>
      </c>
      <c r="I100" s="46">
        <f>B100*((C100*2)+(D100*2))*E100*2*1.05</f>
        <v/>
      </c>
      <c r="J100" s="47">
        <f>B100*(C100+2+F100)*(D100+2+F100)*F100*1.35/27</f>
        <v/>
      </c>
    </row>
    <row r="101" ht="13" customHeight="1" s="195">
      <c r="A101" s="48" t="n"/>
      <c r="B101" s="49" t="n"/>
      <c r="C101" s="50" t="n"/>
      <c r="D101" s="44" t="n"/>
      <c r="E101" s="50" t="n"/>
      <c r="F101" s="45">
        <f>E101</f>
        <v/>
      </c>
      <c r="G101" s="46">
        <f>D101*C101*B101</f>
        <v/>
      </c>
      <c r="H101" s="47">
        <f>B101*C101*D101*E101*1.1/27</f>
        <v/>
      </c>
      <c r="I101" s="46">
        <f>B101*((C101*2)+(D101*2))*E101*2*1.05</f>
        <v/>
      </c>
      <c r="J101" s="47">
        <f>B101*(C101+2+F101)*(D101+2+F101)*F101*1.35/27</f>
        <v/>
      </c>
    </row>
    <row r="102" ht="13" customHeight="1" s="195">
      <c r="A102" s="48" t="n"/>
      <c r="B102" s="49" t="n"/>
      <c r="C102" s="50" t="n"/>
      <c r="D102" s="44" t="n"/>
      <c r="E102" s="50" t="n"/>
      <c r="F102" s="45">
        <f>E102</f>
        <v/>
      </c>
      <c r="G102" s="46">
        <f>D102*C102*B102</f>
        <v/>
      </c>
      <c r="H102" s="47">
        <f>B102*C102*D102*E102*1.1/27</f>
        <v/>
      </c>
      <c r="I102" s="46">
        <f>B102*((C102*2)+(D102*2))*E102*2*1.05</f>
        <v/>
      </c>
      <c r="J102" s="47">
        <f>B102*(C102+2+F102)*(D102+2+F102)*F102*1.35/27</f>
        <v/>
      </c>
    </row>
    <row r="103" ht="13" customHeight="1" s="195">
      <c r="A103" s="48" t="n"/>
      <c r="B103" s="49" t="n"/>
      <c r="C103" s="50" t="n"/>
      <c r="D103" s="44" t="n"/>
      <c r="E103" s="50" t="n"/>
      <c r="F103" s="45">
        <f>E103</f>
        <v/>
      </c>
      <c r="G103" s="46">
        <f>D103*C103*B103</f>
        <v/>
      </c>
      <c r="H103" s="47">
        <f>B103*C103*D103*E103*1.1/27</f>
        <v/>
      </c>
      <c r="I103" s="46">
        <f>B103*((C103*2)+(D103*2))*E103*2*1.05</f>
        <v/>
      </c>
      <c r="J103" s="47">
        <f>B103*(C103+2+F103)*(D103+2+F103)*F103*1.35/27</f>
        <v/>
      </c>
    </row>
    <row r="104" ht="13" customHeight="1" s="195">
      <c r="A104" s="48" t="n"/>
      <c r="B104" s="49" t="n"/>
      <c r="C104" s="50" t="n"/>
      <c r="D104" s="44" t="n"/>
      <c r="E104" s="50" t="n"/>
      <c r="F104" s="45">
        <f>E104</f>
        <v/>
      </c>
      <c r="G104" s="46">
        <f>D104*C104*B104</f>
        <v/>
      </c>
      <c r="H104" s="47">
        <f>B104*C104*D104*E104*1.1/27</f>
        <v/>
      </c>
      <c r="I104" s="46">
        <f>B104*((C104*2)+(D104*2))*E104*2*1.05</f>
        <v/>
      </c>
      <c r="J104" s="47">
        <f>B104*(C104+2+F104)*(D104+2+F104)*F104*1.35/27</f>
        <v/>
      </c>
    </row>
    <row r="105" ht="13" customHeight="1" s="195">
      <c r="A105" s="48" t="n"/>
      <c r="B105" s="49" t="n"/>
      <c r="C105" s="50" t="n"/>
      <c r="D105" s="44" t="n"/>
      <c r="E105" s="50" t="n"/>
      <c r="F105" s="45">
        <f>E105</f>
        <v/>
      </c>
      <c r="G105" s="46">
        <f>D105*C105*B105</f>
        <v/>
      </c>
      <c r="H105" s="47">
        <f>B105*C105*D105*E105*1.1/27</f>
        <v/>
      </c>
      <c r="I105" s="46">
        <f>B105*((C105*2)+(D105*2))*E105*2*1.05</f>
        <v/>
      </c>
      <c r="J105" s="47">
        <f>B105*(C105+2+F105)*(D105+2+F105)*F105*1.35/27</f>
        <v/>
      </c>
    </row>
    <row r="106" ht="13" customHeight="1" s="195">
      <c r="A106" s="48" t="n"/>
      <c r="B106" s="49" t="n"/>
      <c r="C106" s="50" t="n"/>
      <c r="D106" s="44" t="n"/>
      <c r="E106" s="50" t="n"/>
      <c r="F106" s="45">
        <f>E106</f>
        <v/>
      </c>
      <c r="G106" s="46">
        <f>D106*C106*B106</f>
        <v/>
      </c>
      <c r="H106" s="47">
        <f>B106*C106*D106*E106*1.1/27</f>
        <v/>
      </c>
      <c r="I106" s="46">
        <f>B106*((C106*2)+(D106*2))*E106*2*1.05</f>
        <v/>
      </c>
      <c r="J106" s="47">
        <f>B106*(C106+2+F106)*(D106+2+F106)*F106*1.35/27</f>
        <v/>
      </c>
    </row>
    <row r="107" ht="13" customHeight="1" s="195">
      <c r="A107" s="48" t="n"/>
      <c r="B107" s="49" t="n"/>
      <c r="C107" s="50" t="n"/>
      <c r="D107" s="44" t="n"/>
      <c r="E107" s="50" t="n"/>
      <c r="F107" s="45">
        <f>E107</f>
        <v/>
      </c>
      <c r="G107" s="46">
        <f>D107*C107*B107</f>
        <v/>
      </c>
      <c r="H107" s="47">
        <f>B107*C107*D107*E107*1.1/27</f>
        <v/>
      </c>
      <c r="I107" s="46">
        <f>B107*((C107*2)+(D107*2))*E107*2*1.05</f>
        <v/>
      </c>
      <c r="J107" s="47">
        <f>B107*(C107+2+F107)*(D107+2+F107)*F107*1.35/27</f>
        <v/>
      </c>
    </row>
    <row r="108" ht="13" customHeight="1" s="195">
      <c r="A108" s="48" t="n"/>
      <c r="B108" s="49" t="n"/>
      <c r="C108" s="50" t="n"/>
      <c r="D108" s="44" t="n"/>
      <c r="E108" s="50" t="n"/>
      <c r="F108" s="45">
        <f>E108</f>
        <v/>
      </c>
      <c r="G108" s="46">
        <f>D108*C108*B108</f>
        <v/>
      </c>
      <c r="H108" s="47">
        <f>B108*C108*D108*E108*1.1/27</f>
        <v/>
      </c>
      <c r="I108" s="46">
        <f>B108*((C108*2)+(D108*2))*E108*2*1.05</f>
        <v/>
      </c>
      <c r="J108" s="47">
        <f>B108*(C108+2+F108)*(D108+2+F108)*F108*1.35/27</f>
        <v/>
      </c>
    </row>
    <row r="109" ht="13" customHeight="1" s="195">
      <c r="A109" s="48" t="n"/>
      <c r="B109" s="49" t="n"/>
      <c r="C109" s="50" t="n"/>
      <c r="D109" s="44" t="n"/>
      <c r="E109" s="50" t="n"/>
      <c r="F109" s="45">
        <f>E109</f>
        <v/>
      </c>
      <c r="G109" s="46">
        <f>D109*C109*B109</f>
        <v/>
      </c>
      <c r="H109" s="47">
        <f>B109*C109*D109*E109*1.1/27</f>
        <v/>
      </c>
      <c r="I109" s="46">
        <f>B109*((C109*2)+(D109*2))*E109*2*1.05</f>
        <v/>
      </c>
      <c r="J109" s="47">
        <f>B109*(C109+2+F109)*(D109+2+F109)*F109*1.35/27</f>
        <v/>
      </c>
    </row>
    <row r="110" ht="13" customHeight="1" s="195">
      <c r="A110" s="48" t="n"/>
      <c r="B110" s="49" t="n"/>
      <c r="C110" s="50" t="n"/>
      <c r="D110" s="44" t="n"/>
      <c r="E110" s="50" t="n"/>
      <c r="F110" s="45">
        <f>E110</f>
        <v/>
      </c>
      <c r="G110" s="46">
        <f>D110*C110*B110</f>
        <v/>
      </c>
      <c r="H110" s="47">
        <f>B110*C110*D110*E110*1.1/27</f>
        <v/>
      </c>
      <c r="I110" s="46">
        <f>B110*((C110*2)+(D110*2))*E110*2*1.05</f>
        <v/>
      </c>
      <c r="J110" s="47">
        <f>B110*(C110+2+F110)*(D110+2+F110)*F110*1.35/27</f>
        <v/>
      </c>
    </row>
    <row r="111" ht="13" customHeight="1" s="195">
      <c r="A111" s="42" t="n"/>
      <c r="B111" s="49" t="n"/>
      <c r="C111" s="50" t="n"/>
      <c r="D111" s="44" t="n"/>
      <c r="E111" s="50" t="n"/>
      <c r="F111" s="45">
        <f>E111</f>
        <v/>
      </c>
      <c r="G111" s="46">
        <f>D111*C111*B111</f>
        <v/>
      </c>
      <c r="H111" s="47">
        <f>B111*C111*D111*E111*1.1/27</f>
        <v/>
      </c>
      <c r="I111" s="46">
        <f>B111*((C111*2)+(D111*2))*E111*2*1.05</f>
        <v/>
      </c>
      <c r="J111" s="47">
        <f>B111*(C111+2+F111)*(D111+2+F111)*F111*1.35/27</f>
        <v/>
      </c>
    </row>
    <row r="112" ht="13" customHeight="1" s="195">
      <c r="A112" s="42" t="n"/>
      <c r="B112" s="49" t="n"/>
      <c r="C112" s="50" t="n"/>
      <c r="D112" s="44" t="n"/>
      <c r="E112" s="50" t="n"/>
      <c r="F112" s="45">
        <f>E112</f>
        <v/>
      </c>
      <c r="G112" s="46">
        <f>D112*C112*B112</f>
        <v/>
      </c>
      <c r="H112" s="47">
        <f>B112*C112*D112*E112*1.1/27</f>
        <v/>
      </c>
      <c r="I112" s="46">
        <f>B112*((C112*2)+(D112*2))*E112*2*1.05</f>
        <v/>
      </c>
      <c r="J112" s="47">
        <f>B112*(C112+2+F112)*(D112+2+F112)*F112*1.35/27</f>
        <v/>
      </c>
    </row>
    <row r="113" ht="13" customHeight="1" s="195">
      <c r="A113" s="42" t="n"/>
      <c r="B113" s="49" t="n"/>
      <c r="C113" s="50" t="n"/>
      <c r="D113" s="44" t="n"/>
      <c r="E113" s="50" t="n"/>
      <c r="F113" s="45">
        <f>E113</f>
        <v/>
      </c>
      <c r="G113" s="46">
        <f>D113*C113*B113</f>
        <v/>
      </c>
      <c r="H113" s="47">
        <f>B113*C113*D113*E113*1.1/27</f>
        <v/>
      </c>
      <c r="I113" s="46">
        <f>B113*((C113*2)+(D113*2))*E113*2*1.05</f>
        <v/>
      </c>
      <c r="J113" s="47">
        <f>B113*(C113+2+F113)*(D113+2+F113)*F113*1.35/27</f>
        <v/>
      </c>
    </row>
    <row r="114" ht="13" customHeight="1" s="195">
      <c r="A114" s="42" t="n"/>
      <c r="B114" s="49" t="n"/>
      <c r="C114" s="50" t="n"/>
      <c r="D114" s="44" t="n"/>
      <c r="E114" s="50" t="n"/>
      <c r="F114" s="45">
        <f>E114</f>
        <v/>
      </c>
      <c r="G114" s="46">
        <f>D114*C114*B114</f>
        <v/>
      </c>
      <c r="H114" s="47">
        <f>B114*C114*D114*E114*1.1/27</f>
        <v/>
      </c>
      <c r="I114" s="46">
        <f>B114*((C114*2)+(D114*2))*E114*2*1.05</f>
        <v/>
      </c>
      <c r="J114" s="47">
        <f>B114*(C114+2+F114)*(D114+2+F114)*F114*1.35/27</f>
        <v/>
      </c>
    </row>
    <row r="115" ht="13" customHeight="1" s="195">
      <c r="A115" s="42" t="n"/>
      <c r="B115" s="49" t="n"/>
      <c r="C115" s="50" t="n"/>
      <c r="D115" s="44" t="n"/>
      <c r="E115" s="50" t="n"/>
      <c r="F115" s="45">
        <f>E115</f>
        <v/>
      </c>
      <c r="G115" s="46">
        <f>D115*C115*B115</f>
        <v/>
      </c>
      <c r="H115" s="47">
        <f>B115*C115*D115*E115*1.1/27</f>
        <v/>
      </c>
      <c r="I115" s="46">
        <f>B115*((C115*2)+(D115*2))*E115*2*1.05</f>
        <v/>
      </c>
      <c r="J115" s="47">
        <f>B115*(C115+2+F115)*(D115+2+F115)*F115*1.35/27</f>
        <v/>
      </c>
    </row>
    <row r="116" ht="14" customHeight="1" s="195" thickBot="1">
      <c r="A116" s="52" t="n"/>
      <c r="B116" s="53" t="n"/>
      <c r="C116" s="54" t="n"/>
      <c r="D116" s="55" t="n"/>
      <c r="E116" s="54" t="n"/>
      <c r="F116" s="56">
        <f>E116</f>
        <v/>
      </c>
      <c r="G116" s="46">
        <f>D116*C116*B116</f>
        <v/>
      </c>
      <c r="H116" s="47">
        <f>B116*C116*D116*E116*1.1/27</f>
        <v/>
      </c>
      <c r="I116" s="46">
        <f>B116*((C116*2)+(D116*2))*E116*2*1.05</f>
        <v/>
      </c>
      <c r="J116" s="47">
        <f>B116*(C116+2+F116)*(D116+2+F116)*F116*1.35/27</f>
        <v/>
      </c>
    </row>
    <row r="117" ht="15" customHeight="1" s="195" thickBot="1" thickTop="1">
      <c r="A117" s="27" t="n"/>
      <c r="B117" s="51" t="n"/>
      <c r="C117" s="51" t="n"/>
      <c r="D117" s="57" t="n"/>
      <c r="E117" s="51" t="n"/>
      <c r="F117" s="51" t="n"/>
      <c r="G117" s="51" t="n"/>
      <c r="H117" s="51" t="n"/>
      <c r="I117" s="51" t="n"/>
      <c r="J117" s="51" t="n"/>
    </row>
    <row r="118" ht="20" customHeight="1" s="195" thickBot="1" thickTop="1">
      <c r="A118" s="27" t="n"/>
      <c r="B118" s="51" t="n"/>
      <c r="C118" s="51" t="n"/>
      <c r="D118" s="57" t="n"/>
      <c r="E118" s="58" t="inlineStr">
        <is>
          <t>TOTALS</t>
        </is>
      </c>
      <c r="F118" s="51" t="n"/>
      <c r="G118" s="59">
        <f>SUM(G87:G116)</f>
        <v/>
      </c>
      <c r="H118" s="60">
        <f>SUM(H87:H116)</f>
        <v/>
      </c>
      <c r="I118" s="63">
        <f>SUM(I87:I116)</f>
        <v/>
      </c>
      <c r="J118" s="60">
        <f>SUM(J87:J116)</f>
        <v/>
      </c>
    </row>
    <row r="119" ht="19" customHeight="1" s="195" thickTop="1">
      <c r="A119" s="27" t="n"/>
      <c r="B119" s="51" t="n"/>
      <c r="C119" s="51" t="n"/>
      <c r="D119" s="57" t="n"/>
      <c r="E119" s="51" t="n"/>
      <c r="F119" s="51" t="n"/>
      <c r="G119" s="61" t="inlineStr">
        <is>
          <t>S.F</t>
        </is>
      </c>
      <c r="H119" s="61" t="inlineStr">
        <is>
          <t>C.Y.</t>
        </is>
      </c>
      <c r="I119" s="61" t="inlineStr">
        <is>
          <t>B.F</t>
        </is>
      </c>
      <c r="J119" s="61" t="inlineStr">
        <is>
          <t>C.Y</t>
        </is>
      </c>
    </row>
    <row r="120" ht="14" customHeight="1" s="195" thickBot="1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</row>
    <row r="121" ht="20" customHeight="1" s="195" thickBot="1" thickTop="1">
      <c r="A121" s="0" t="n"/>
      <c r="B121" s="64" t="n"/>
      <c r="C121" s="64" t="n"/>
      <c r="D121" s="65" t="inlineStr">
        <is>
          <t>FOOTINGS - GRAND TOTALS</t>
        </is>
      </c>
      <c r="E121" s="66" t="n"/>
      <c r="F121" s="67" t="n"/>
      <c r="G121" s="68">
        <f>G118+G79+G40</f>
        <v/>
      </c>
      <c r="H121" s="69">
        <f>H118+H79+H40</f>
        <v/>
      </c>
      <c r="I121" s="70">
        <f>I118+I79</f>
        <v/>
      </c>
      <c r="J121" s="69">
        <f>J118+J79+I40</f>
        <v/>
      </c>
      <c r="K121" s="64" t="n"/>
      <c r="L121" s="64" t="n"/>
      <c r="M121" s="64" t="n"/>
      <c r="N121" s="64" t="n"/>
      <c r="O121" s="64" t="n"/>
      <c r="P121" s="64" t="n"/>
      <c r="Q121" s="64" t="n"/>
      <c r="R121" s="64" t="n"/>
      <c r="S121" s="64" t="n"/>
      <c r="T121" s="64" t="n"/>
      <c r="U121" s="64" t="n"/>
      <c r="V121" s="64" t="n"/>
      <c r="W121" s="64" t="n"/>
      <c r="X121" s="64" t="n"/>
      <c r="Y121" s="64" t="n"/>
      <c r="Z121" s="64" t="n"/>
      <c r="AA121" s="64" t="n"/>
      <c r="AB121" s="64" t="n"/>
      <c r="AC121" s="64" t="n"/>
      <c r="AD121" s="64" t="n"/>
      <c r="AE121" s="64" t="n"/>
      <c r="AF121" s="64" t="n"/>
      <c r="AG121" s="64" t="n"/>
      <c r="AH121" s="64" t="n"/>
      <c r="AI121" s="64" t="n"/>
      <c r="AJ121" s="64" t="n"/>
      <c r="AK121" s="64" t="n"/>
      <c r="AL121" s="64" t="n"/>
      <c r="AM121" s="64" t="n"/>
      <c r="AN121" s="64" t="n"/>
      <c r="AO121" s="64" t="n"/>
      <c r="AP121" s="64" t="n"/>
      <c r="AQ121" s="64" t="n"/>
      <c r="AR121" s="64" t="n"/>
      <c r="AS121" s="64" t="n"/>
      <c r="AT121" s="64" t="n"/>
      <c r="AU121" s="64" t="n"/>
      <c r="AV121" s="64" t="n"/>
      <c r="AW121" s="64" t="n"/>
      <c r="AX121" s="64" t="n"/>
      <c r="AY121" s="64" t="n"/>
      <c r="AZ121" s="64" t="n"/>
      <c r="BA121" s="64" t="n"/>
      <c r="BB121" s="64" t="n"/>
      <c r="BC121" s="64" t="n"/>
      <c r="BD121" s="64" t="n"/>
      <c r="BE121" s="64" t="n"/>
      <c r="BF121" s="64" t="n"/>
      <c r="BG121" s="64" t="n"/>
      <c r="BH121" s="64" t="n"/>
      <c r="BI121" s="64" t="n"/>
      <c r="BJ121" s="64" t="n"/>
      <c r="BK121" s="64" t="n"/>
      <c r="BL121" s="64" t="n"/>
      <c r="BM121" s="64" t="n"/>
      <c r="BN121" s="64" t="n"/>
      <c r="BO121" s="64" t="n"/>
      <c r="BP121" s="64" t="n"/>
      <c r="BQ121" s="64" t="n"/>
      <c r="BR121" s="64" t="n"/>
      <c r="BS121" s="64" t="n"/>
      <c r="BT121" s="64" t="n"/>
      <c r="BU121" s="64" t="n"/>
      <c r="BV121" s="64" t="n"/>
      <c r="BW121" s="64" t="n"/>
      <c r="BX121" s="64" t="n"/>
      <c r="BY121" s="64" t="n"/>
      <c r="BZ121" s="64" t="n"/>
      <c r="CA121" s="64" t="n"/>
      <c r="CB121" s="64" t="n"/>
      <c r="CC121" s="64" t="n"/>
      <c r="CD121" s="64" t="n"/>
      <c r="CE121" s="64" t="n"/>
      <c r="CF121" s="64" t="n"/>
      <c r="CG121" s="64" t="n"/>
      <c r="CH121" s="64" t="n"/>
      <c r="CI121" s="64" t="n"/>
      <c r="CJ121" s="64" t="n"/>
      <c r="CK121" s="64" t="n"/>
      <c r="CL121" s="64" t="n"/>
      <c r="CM121" s="64" t="n"/>
      <c r="CN121" s="64" t="n"/>
      <c r="CO121" s="64" t="n"/>
      <c r="CP121" s="64" t="n"/>
      <c r="CQ121" s="64" t="n"/>
      <c r="CR121" s="64" t="n"/>
      <c r="CS121" s="64" t="n"/>
      <c r="CT121" s="64" t="n"/>
      <c r="CU121" s="64" t="n"/>
      <c r="CV121" s="64" t="n"/>
      <c r="CW121" s="64" t="n"/>
      <c r="CX121" s="64" t="n"/>
      <c r="CY121" s="64" t="n"/>
      <c r="CZ121" s="64" t="n"/>
      <c r="DA121" s="64" t="n"/>
      <c r="DB121" s="64" t="n"/>
      <c r="DC121" s="64" t="n"/>
      <c r="DD121" s="64" t="n"/>
      <c r="DE121" s="64" t="n"/>
      <c r="DF121" s="64" t="n"/>
      <c r="DG121" s="64" t="n"/>
      <c r="DH121" s="64" t="n"/>
      <c r="DI121" s="64" t="n"/>
      <c r="DJ121" s="64" t="n"/>
      <c r="DK121" s="64" t="n"/>
      <c r="DL121" s="64" t="n"/>
      <c r="DM121" s="64" t="n"/>
      <c r="DN121" s="64" t="n"/>
      <c r="DO121" s="64" t="n"/>
      <c r="DP121" s="64" t="n"/>
      <c r="DQ121" s="64" t="n"/>
      <c r="DR121" s="64" t="n"/>
      <c r="DS121" s="64" t="n"/>
      <c r="DT121" s="64" t="n"/>
      <c r="DU121" s="64" t="n"/>
      <c r="DV121" s="64" t="n"/>
      <c r="DW121" s="64" t="n"/>
      <c r="DX121" s="64" t="n"/>
      <c r="DY121" s="64" t="n"/>
      <c r="DZ121" s="64" t="n"/>
      <c r="EA121" s="64" t="n"/>
      <c r="EB121" s="64" t="n"/>
      <c r="EC121" s="64" t="n"/>
      <c r="ED121" s="64" t="n"/>
      <c r="EE121" s="64" t="n"/>
      <c r="EF121" s="64" t="n"/>
      <c r="EG121" s="64" t="n"/>
      <c r="EH121" s="64" t="n"/>
      <c r="EI121" s="64" t="n"/>
      <c r="EJ121" s="64" t="n"/>
      <c r="EK121" s="64" t="n"/>
      <c r="EL121" s="64" t="n"/>
      <c r="EM121" s="64" t="n"/>
      <c r="EN121" s="64" t="n"/>
      <c r="EO121" s="64" t="n"/>
      <c r="EP121" s="64" t="n"/>
      <c r="EQ121" s="64" t="n"/>
      <c r="ER121" s="64" t="n"/>
      <c r="ES121" s="64" t="n"/>
      <c r="ET121" s="64" t="n"/>
      <c r="EU121" s="64" t="n"/>
      <c r="EV121" s="64" t="n"/>
      <c r="EW121" s="64" t="n"/>
      <c r="EX121" s="64" t="n"/>
      <c r="EY121" s="64" t="n"/>
      <c r="EZ121" s="64" t="n"/>
      <c r="FA121" s="64" t="n"/>
      <c r="FB121" s="64" t="n"/>
      <c r="FC121" s="64" t="n"/>
      <c r="FD121" s="64" t="n"/>
      <c r="FE121" s="64" t="n"/>
      <c r="FF121" s="64" t="n"/>
      <c r="FG121" s="64" t="n"/>
      <c r="FH121" s="64" t="n"/>
      <c r="FI121" s="64" t="n"/>
      <c r="FJ121" s="64" t="n"/>
      <c r="FK121" s="64" t="n"/>
      <c r="FL121" s="64" t="n"/>
      <c r="FM121" s="64" t="n"/>
      <c r="FN121" s="64" t="n"/>
      <c r="FO121" s="64" t="n"/>
      <c r="FP121" s="64" t="n"/>
      <c r="FQ121" s="64" t="n"/>
      <c r="FR121" s="64" t="n"/>
      <c r="FS121" s="64" t="n"/>
      <c r="FT121" s="64" t="n"/>
      <c r="FU121" s="64" t="n"/>
      <c r="FV121" s="64" t="n"/>
      <c r="FW121" s="64" t="n"/>
      <c r="FX121" s="64" t="n"/>
      <c r="FY121" s="64" t="n"/>
      <c r="FZ121" s="64" t="n"/>
      <c r="GA121" s="64" t="n"/>
      <c r="GB121" s="64" t="n"/>
      <c r="GC121" s="64" t="n"/>
      <c r="GD121" s="64" t="n"/>
      <c r="GE121" s="64" t="n"/>
      <c r="GF121" s="64" t="n"/>
      <c r="GG121" s="64" t="n"/>
      <c r="GH121" s="64" t="n"/>
      <c r="GI121" s="64" t="n"/>
      <c r="GJ121" s="64" t="n"/>
      <c r="GK121" s="64" t="n"/>
      <c r="GL121" s="64" t="n"/>
      <c r="GM121" s="64" t="n"/>
      <c r="GN121" s="64" t="n"/>
      <c r="GO121" s="64" t="n"/>
      <c r="GP121" s="64" t="n"/>
      <c r="GQ121" s="64" t="n"/>
      <c r="GR121" s="64" t="n"/>
      <c r="GS121" s="64" t="n"/>
      <c r="GT121" s="64" t="n"/>
      <c r="GU121" s="64" t="n"/>
      <c r="GV121" s="64" t="n"/>
      <c r="GW121" s="64" t="n"/>
      <c r="GX121" s="64" t="n"/>
      <c r="GY121" s="64" t="n"/>
      <c r="GZ121" s="64" t="n"/>
      <c r="HA121" s="64" t="n"/>
      <c r="HB121" s="64" t="n"/>
      <c r="HC121" s="64" t="n"/>
      <c r="HD121" s="64" t="n"/>
      <c r="HE121" s="64" t="n"/>
      <c r="HF121" s="64" t="n"/>
      <c r="HG121" s="64" t="n"/>
      <c r="HH121" s="64" t="n"/>
      <c r="HI121" s="64" t="n"/>
      <c r="HJ121" s="64" t="n"/>
      <c r="HK121" s="64" t="n"/>
      <c r="HL121" s="64" t="n"/>
      <c r="HM121" s="64" t="n"/>
      <c r="HN121" s="64" t="n"/>
      <c r="HO121" s="64" t="n"/>
      <c r="HP121" s="64" t="n"/>
      <c r="HQ121" s="64" t="n"/>
      <c r="HR121" s="64" t="n"/>
      <c r="HS121" s="64" t="n"/>
      <c r="HT121" s="64" t="n"/>
      <c r="HU121" s="64" t="n"/>
      <c r="HV121" s="64" t="n"/>
      <c r="HW121" s="64" t="n"/>
      <c r="HX121" s="64" t="n"/>
      <c r="HY121" s="64" t="n"/>
      <c r="HZ121" s="64" t="n"/>
      <c r="IA121" s="64" t="n"/>
      <c r="IB121" s="64" t="n"/>
      <c r="IC121" s="64" t="n"/>
      <c r="ID121" s="64" t="n"/>
      <c r="IE121" s="64" t="n"/>
      <c r="IF121" s="64" t="n"/>
      <c r="IG121" s="64" t="n"/>
      <c r="IH121" s="64" t="n"/>
      <c r="II121" s="64" t="n"/>
      <c r="IJ121" s="64" t="n"/>
      <c r="IK121" s="64" t="n"/>
      <c r="IL121" s="64" t="n"/>
      <c r="IM121" s="64" t="n"/>
      <c r="IN121" s="64" t="n"/>
      <c r="IO121" s="64" t="n"/>
      <c r="IP121" s="64" t="n"/>
      <c r="IQ121" s="64" t="n"/>
      <c r="IR121" s="64" t="n"/>
      <c r="IS121" s="64" t="n"/>
      <c r="IT121" s="64" t="n"/>
      <c r="IU121" s="64" t="n"/>
      <c r="IV121" s="64" t="n"/>
    </row>
    <row r="122" ht="19" customHeight="1" s="195" thickTop="1">
      <c r="A122" s="27" t="n"/>
      <c r="B122" s="27" t="n"/>
      <c r="C122" s="27" t="n"/>
      <c r="D122" s="27" t="n"/>
      <c r="E122" s="27" t="n"/>
      <c r="F122" s="27" t="n"/>
      <c r="G122" s="61" t="inlineStr">
        <is>
          <t>S.F</t>
        </is>
      </c>
      <c r="H122" s="61" t="inlineStr">
        <is>
          <t>C.Y.</t>
        </is>
      </c>
      <c r="I122" s="61" t="inlineStr">
        <is>
          <t>B.F</t>
        </is>
      </c>
      <c r="J122" s="61" t="inlineStr">
        <is>
          <t>C.Y</t>
        </is>
      </c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 transitionEvaluation="1" transitionEntry="1">
    <outlinePr summaryBelow="1" summaryRight="1"/>
    <pageSetUpPr/>
  </sheetPr>
  <dimension ref="A1:IV165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1"/>
    <col width="11.75" customWidth="1" style="195" min="2" max="2"/>
    <col width="15.75" customWidth="1" style="195" min="4" max="4"/>
    <col width="12.75" customWidth="1" style="195" min="5" max="5"/>
    <col width="4.75" customWidth="1" style="195" min="6" max="6"/>
  </cols>
  <sheetData>
    <row r="1" ht="23" customHeight="1" s="195">
      <c r="A1" s="14" t="inlineStr">
        <is>
          <t>TAKE OFF PAGE #3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</row>
    <row r="2" ht="23" customHeight="1" s="195">
      <c r="A2" s="20" t="inlineStr">
        <is>
          <t>JOB:</t>
        </is>
      </c>
      <c r="B2" s="17">
        <f>'ESTIMATE (INPUT)'!P2</f>
        <v/>
      </c>
      <c r="D2" s="17" t="n"/>
      <c r="E2" s="0" t="n"/>
      <c r="F2" s="16" t="n"/>
      <c r="H2" s="16" t="n"/>
      <c r="I2" s="21" t="n"/>
    </row>
    <row r="3" ht="23" customHeight="1" s="195">
      <c r="A3" s="20" t="inlineStr">
        <is>
          <t>DATE:</t>
        </is>
      </c>
      <c r="B3" s="25">
        <f>NOW()</f>
        <v/>
      </c>
      <c r="D3" s="16" t="inlineStr">
        <is>
          <t>BUILDING:</t>
        </is>
      </c>
      <c r="E3" s="16">
        <f>FOOTINGS!E3</f>
        <v/>
      </c>
      <c r="F3" s="16" t="n"/>
      <c r="G3" s="20" t="n"/>
      <c r="H3" s="16" t="n"/>
      <c r="I3" s="21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</row>
    <row r="6" ht="24" customHeight="1" s="195" thickBot="1">
      <c r="A6" s="16" t="inlineStr">
        <is>
          <t>SLAB ON GRADE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  <c r="G7" s="27" t="n"/>
      <c r="H7" s="27" t="n"/>
      <c r="I7" s="27" t="n"/>
      <c r="J7" s="27" t="n"/>
      <c r="K7" s="27" t="n"/>
      <c r="L7" s="27" t="n"/>
      <c r="M7" s="27" t="n"/>
      <c r="N7" s="2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  <c r="AA7" s="27" t="n"/>
      <c r="AB7" s="27" t="n"/>
      <c r="AC7" s="27" t="n"/>
      <c r="AD7" s="27" t="n"/>
      <c r="AE7" s="27" t="n"/>
      <c r="AF7" s="27" t="n"/>
      <c r="AG7" s="27" t="n"/>
      <c r="AH7" s="27" t="n"/>
      <c r="AI7" s="27" t="n"/>
      <c r="AJ7" s="27" t="n"/>
      <c r="AK7" s="27" t="n"/>
      <c r="AL7" s="27" t="n"/>
      <c r="AM7" s="27" t="n"/>
      <c r="AN7" s="27" t="n"/>
      <c r="AO7" s="27" t="n"/>
      <c r="AP7" s="27" t="n"/>
      <c r="AQ7" s="27" t="n"/>
      <c r="AR7" s="27" t="n"/>
      <c r="AS7" s="27" t="n"/>
      <c r="AT7" s="27" t="n"/>
      <c r="AU7" s="27" t="n"/>
      <c r="AV7" s="27" t="n"/>
      <c r="AW7" s="27" t="n"/>
      <c r="AX7" s="27" t="n"/>
      <c r="AY7" s="27" t="n"/>
      <c r="AZ7" s="27" t="n"/>
      <c r="BA7" s="27" t="n"/>
      <c r="BB7" s="27" t="n"/>
      <c r="BC7" s="27" t="n"/>
      <c r="BD7" s="27" t="n"/>
      <c r="BE7" s="27" t="n"/>
      <c r="BF7" s="27" t="n"/>
      <c r="BG7" s="27" t="n"/>
      <c r="BH7" s="27" t="n"/>
      <c r="BI7" s="27" t="n"/>
      <c r="BJ7" s="27" t="n"/>
      <c r="BK7" s="27" t="n"/>
      <c r="BL7" s="27" t="n"/>
      <c r="BM7" s="27" t="n"/>
      <c r="BN7" s="27" t="n"/>
      <c r="BO7" s="27" t="n"/>
      <c r="BP7" s="27" t="n"/>
      <c r="BQ7" s="27" t="n"/>
      <c r="BR7" s="27" t="n"/>
      <c r="BS7" s="27" t="n"/>
      <c r="BT7" s="27" t="n"/>
      <c r="BU7" s="27" t="n"/>
      <c r="BV7" s="27" t="n"/>
      <c r="BW7" s="27" t="n"/>
      <c r="BX7" s="27" t="n"/>
      <c r="BY7" s="27" t="n"/>
      <c r="BZ7" s="27" t="n"/>
      <c r="CA7" s="27" t="n"/>
      <c r="CB7" s="27" t="n"/>
      <c r="CC7" s="27" t="n"/>
      <c r="CD7" s="27" t="n"/>
      <c r="CE7" s="27" t="n"/>
      <c r="CF7" s="27" t="n"/>
      <c r="CG7" s="27" t="n"/>
      <c r="CH7" s="27" t="n"/>
      <c r="CI7" s="27" t="n"/>
      <c r="CJ7" s="27" t="n"/>
      <c r="CK7" s="27" t="n"/>
      <c r="CL7" s="27" t="n"/>
      <c r="CM7" s="27" t="n"/>
      <c r="CN7" s="27" t="n"/>
      <c r="CO7" s="27" t="n"/>
      <c r="CP7" s="27" t="n"/>
      <c r="CQ7" s="27" t="n"/>
      <c r="CR7" s="27" t="n"/>
      <c r="CS7" s="27" t="n"/>
      <c r="CT7" s="27" t="n"/>
      <c r="CU7" s="27" t="n"/>
      <c r="CV7" s="27" t="n"/>
      <c r="CW7" s="27" t="n"/>
      <c r="CX7" s="27" t="n"/>
      <c r="CY7" s="27" t="n"/>
      <c r="CZ7" s="27" t="n"/>
      <c r="DA7" s="27" t="n"/>
      <c r="DB7" s="27" t="n"/>
      <c r="DC7" s="27" t="n"/>
      <c r="DD7" s="27" t="n"/>
      <c r="DE7" s="27" t="n"/>
      <c r="DF7" s="27" t="n"/>
      <c r="DG7" s="27" t="n"/>
      <c r="DH7" s="27" t="n"/>
      <c r="DI7" s="27" t="n"/>
      <c r="DJ7" s="27" t="n"/>
      <c r="DK7" s="27" t="n"/>
      <c r="DL7" s="27" t="n"/>
      <c r="DM7" s="27" t="n"/>
      <c r="DN7" s="27" t="n"/>
      <c r="DO7" s="27" t="n"/>
      <c r="DP7" s="27" t="n"/>
      <c r="DQ7" s="27" t="n"/>
      <c r="DR7" s="27" t="n"/>
      <c r="DS7" s="27" t="n"/>
      <c r="DT7" s="27" t="n"/>
      <c r="DU7" s="27" t="n"/>
      <c r="DV7" s="27" t="n"/>
      <c r="DW7" s="27" t="n"/>
      <c r="DX7" s="27" t="n"/>
      <c r="DY7" s="27" t="n"/>
      <c r="DZ7" s="27" t="n"/>
      <c r="EA7" s="27" t="n"/>
      <c r="EB7" s="27" t="n"/>
      <c r="EC7" s="27" t="n"/>
      <c r="ED7" s="27" t="n"/>
      <c r="EE7" s="27" t="n"/>
      <c r="EF7" s="27" t="n"/>
      <c r="EG7" s="27" t="n"/>
      <c r="EH7" s="27" t="n"/>
      <c r="EI7" s="27" t="n"/>
      <c r="EJ7" s="27" t="n"/>
      <c r="EK7" s="27" t="n"/>
      <c r="EL7" s="27" t="n"/>
      <c r="EM7" s="27" t="n"/>
      <c r="EN7" s="27" t="n"/>
      <c r="EO7" s="27" t="n"/>
      <c r="EP7" s="27" t="n"/>
      <c r="EQ7" s="27" t="n"/>
      <c r="ER7" s="27" t="n"/>
      <c r="ES7" s="27" t="n"/>
      <c r="ET7" s="27" t="n"/>
      <c r="EU7" s="27" t="n"/>
      <c r="EV7" s="27" t="n"/>
      <c r="EW7" s="27" t="n"/>
      <c r="EX7" s="27" t="n"/>
      <c r="EY7" s="27" t="n"/>
      <c r="EZ7" s="27" t="n"/>
      <c r="FA7" s="27" t="n"/>
      <c r="FB7" s="27" t="n"/>
      <c r="FC7" s="27" t="n"/>
      <c r="FD7" s="27" t="n"/>
      <c r="FE7" s="27" t="n"/>
      <c r="FF7" s="27" t="n"/>
      <c r="FG7" s="27" t="n"/>
      <c r="FH7" s="27" t="n"/>
      <c r="FI7" s="27" t="n"/>
      <c r="FJ7" s="27" t="n"/>
      <c r="FK7" s="27" t="n"/>
      <c r="FL7" s="27" t="n"/>
      <c r="FM7" s="27" t="n"/>
      <c r="FN7" s="27" t="n"/>
      <c r="FO7" s="27" t="n"/>
      <c r="FP7" s="27" t="n"/>
      <c r="FQ7" s="27" t="n"/>
      <c r="FR7" s="27" t="n"/>
      <c r="FS7" s="27" t="n"/>
      <c r="FT7" s="27" t="n"/>
      <c r="FU7" s="27" t="n"/>
      <c r="FV7" s="27" t="n"/>
      <c r="FW7" s="27" t="n"/>
      <c r="FX7" s="27" t="n"/>
      <c r="FY7" s="27" t="n"/>
      <c r="FZ7" s="27" t="n"/>
      <c r="GA7" s="27" t="n"/>
      <c r="GB7" s="27" t="n"/>
      <c r="GC7" s="27" t="n"/>
      <c r="GD7" s="27" t="n"/>
      <c r="GE7" s="27" t="n"/>
      <c r="GF7" s="27" t="n"/>
      <c r="GG7" s="27" t="n"/>
      <c r="GH7" s="27" t="n"/>
      <c r="GI7" s="27" t="n"/>
      <c r="GJ7" s="27" t="n"/>
      <c r="GK7" s="27" t="n"/>
      <c r="GL7" s="27" t="n"/>
      <c r="GM7" s="27" t="n"/>
      <c r="GN7" s="27" t="n"/>
      <c r="GO7" s="27" t="n"/>
      <c r="GP7" s="27" t="n"/>
      <c r="GQ7" s="27" t="n"/>
      <c r="GR7" s="27" t="n"/>
      <c r="GS7" s="27" t="n"/>
      <c r="GT7" s="27" t="n"/>
      <c r="GU7" s="27" t="n"/>
      <c r="GV7" s="27" t="n"/>
      <c r="GW7" s="27" t="n"/>
      <c r="GX7" s="27" t="n"/>
      <c r="GY7" s="27" t="n"/>
      <c r="GZ7" s="27" t="n"/>
      <c r="HA7" s="27" t="n"/>
      <c r="HB7" s="27" t="n"/>
      <c r="HC7" s="27" t="n"/>
      <c r="HD7" s="27" t="n"/>
      <c r="HE7" s="27" t="n"/>
      <c r="HF7" s="27" t="n"/>
      <c r="HG7" s="27" t="n"/>
      <c r="HH7" s="27" t="n"/>
      <c r="HI7" s="27" t="n"/>
      <c r="HJ7" s="27" t="n"/>
      <c r="HK7" s="27" t="n"/>
      <c r="HL7" s="27" t="n"/>
      <c r="HM7" s="27" t="n"/>
      <c r="HN7" s="27" t="n"/>
      <c r="HO7" s="27" t="n"/>
      <c r="HP7" s="27" t="n"/>
      <c r="HQ7" s="27" t="n"/>
      <c r="HR7" s="27" t="n"/>
      <c r="HS7" s="27" t="n"/>
      <c r="HT7" s="27" t="n"/>
      <c r="HU7" s="27" t="n"/>
      <c r="HV7" s="27" t="n"/>
      <c r="HW7" s="27" t="n"/>
      <c r="HX7" s="27" t="n"/>
      <c r="HY7" s="27" t="n"/>
      <c r="HZ7" s="27" t="n"/>
      <c r="IA7" s="27" t="n"/>
      <c r="IB7" s="27" t="n"/>
      <c r="IC7" s="27" t="n"/>
      <c r="ID7" s="27" t="n"/>
      <c r="IE7" s="27" t="n"/>
      <c r="IF7" s="27" t="n"/>
      <c r="IG7" s="27" t="n"/>
      <c r="IH7" s="27" t="n"/>
      <c r="II7" s="27" t="n"/>
      <c r="IJ7" s="27" t="n"/>
      <c r="IK7" s="27" t="n"/>
      <c r="IL7" s="27" t="n"/>
      <c r="IM7" s="27" t="n"/>
      <c r="IN7" s="27" t="n"/>
      <c r="IO7" s="27" t="n"/>
      <c r="IP7" s="27" t="n"/>
      <c r="IQ7" s="27" t="n"/>
      <c r="IR7" s="27" t="n"/>
      <c r="IS7" s="27" t="n"/>
      <c r="IT7" s="27" t="n"/>
      <c r="IU7" s="27" t="n"/>
      <c r="IV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  <c r="G8" s="27" t="n"/>
      <c r="H8" s="27" t="n"/>
      <c r="I8" s="27" t="n"/>
      <c r="J8" s="27" t="n"/>
      <c r="K8" s="27" t="n"/>
      <c r="L8" s="27" t="n"/>
      <c r="M8" s="27" t="n"/>
      <c r="N8" s="2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  <c r="AA8" s="27" t="n"/>
      <c r="AB8" s="27" t="n"/>
      <c r="AC8" s="27" t="n"/>
      <c r="AD8" s="27" t="n"/>
      <c r="AE8" s="27" t="n"/>
      <c r="AF8" s="27" t="n"/>
      <c r="AG8" s="27" t="n"/>
      <c r="AH8" s="27" t="n"/>
      <c r="AI8" s="27" t="n"/>
      <c r="AJ8" s="27" t="n"/>
      <c r="AK8" s="27" t="n"/>
      <c r="AL8" s="27" t="n"/>
      <c r="AM8" s="27" t="n"/>
      <c r="AN8" s="27" t="n"/>
      <c r="AO8" s="27" t="n"/>
      <c r="AP8" s="27" t="n"/>
      <c r="AQ8" s="27" t="n"/>
      <c r="AR8" s="27" t="n"/>
      <c r="AS8" s="27" t="n"/>
      <c r="AT8" s="27" t="n"/>
      <c r="AU8" s="27" t="n"/>
      <c r="AV8" s="27" t="n"/>
      <c r="AW8" s="27" t="n"/>
      <c r="AX8" s="27" t="n"/>
      <c r="AY8" s="27" t="n"/>
      <c r="AZ8" s="27" t="n"/>
      <c r="BA8" s="27" t="n"/>
      <c r="BB8" s="27" t="n"/>
      <c r="BC8" s="27" t="n"/>
      <c r="BD8" s="27" t="n"/>
      <c r="BE8" s="27" t="n"/>
      <c r="BF8" s="27" t="n"/>
      <c r="BG8" s="27" t="n"/>
      <c r="BH8" s="27" t="n"/>
      <c r="BI8" s="27" t="n"/>
      <c r="BJ8" s="27" t="n"/>
      <c r="BK8" s="27" t="n"/>
      <c r="BL8" s="27" t="n"/>
      <c r="BM8" s="27" t="n"/>
      <c r="BN8" s="27" t="n"/>
      <c r="BO8" s="27" t="n"/>
      <c r="BP8" s="27" t="n"/>
      <c r="BQ8" s="27" t="n"/>
      <c r="BR8" s="27" t="n"/>
      <c r="BS8" s="27" t="n"/>
      <c r="BT8" s="27" t="n"/>
      <c r="BU8" s="27" t="n"/>
      <c r="BV8" s="27" t="n"/>
      <c r="BW8" s="27" t="n"/>
      <c r="BX8" s="27" t="n"/>
      <c r="BY8" s="27" t="n"/>
      <c r="BZ8" s="27" t="n"/>
      <c r="CA8" s="27" t="n"/>
      <c r="CB8" s="27" t="n"/>
      <c r="CC8" s="27" t="n"/>
      <c r="CD8" s="27" t="n"/>
      <c r="CE8" s="27" t="n"/>
      <c r="CF8" s="27" t="n"/>
      <c r="CG8" s="27" t="n"/>
      <c r="CH8" s="27" t="n"/>
      <c r="CI8" s="27" t="n"/>
      <c r="CJ8" s="27" t="n"/>
      <c r="CK8" s="27" t="n"/>
      <c r="CL8" s="27" t="n"/>
      <c r="CM8" s="27" t="n"/>
      <c r="CN8" s="27" t="n"/>
      <c r="CO8" s="27" t="n"/>
      <c r="CP8" s="27" t="n"/>
      <c r="CQ8" s="27" t="n"/>
      <c r="CR8" s="27" t="n"/>
      <c r="CS8" s="27" t="n"/>
      <c r="CT8" s="27" t="n"/>
      <c r="CU8" s="27" t="n"/>
      <c r="CV8" s="27" t="n"/>
      <c r="CW8" s="27" t="n"/>
      <c r="CX8" s="27" t="n"/>
      <c r="CY8" s="27" t="n"/>
      <c r="CZ8" s="27" t="n"/>
      <c r="DA8" s="27" t="n"/>
      <c r="DB8" s="27" t="n"/>
      <c r="DC8" s="27" t="n"/>
      <c r="DD8" s="27" t="n"/>
      <c r="DE8" s="27" t="n"/>
      <c r="DF8" s="27" t="n"/>
      <c r="DG8" s="27" t="n"/>
      <c r="DH8" s="27" t="n"/>
      <c r="DI8" s="27" t="n"/>
      <c r="DJ8" s="27" t="n"/>
      <c r="DK8" s="27" t="n"/>
      <c r="DL8" s="27" t="n"/>
      <c r="DM8" s="27" t="n"/>
      <c r="DN8" s="27" t="n"/>
      <c r="DO8" s="27" t="n"/>
      <c r="DP8" s="27" t="n"/>
      <c r="DQ8" s="27" t="n"/>
      <c r="DR8" s="27" t="n"/>
      <c r="DS8" s="27" t="n"/>
      <c r="DT8" s="27" t="n"/>
      <c r="DU8" s="27" t="n"/>
      <c r="DV8" s="27" t="n"/>
      <c r="DW8" s="27" t="n"/>
      <c r="DX8" s="27" t="n"/>
      <c r="DY8" s="27" t="n"/>
      <c r="DZ8" s="27" t="n"/>
      <c r="EA8" s="27" t="n"/>
      <c r="EB8" s="27" t="n"/>
      <c r="EC8" s="27" t="n"/>
      <c r="ED8" s="27" t="n"/>
      <c r="EE8" s="27" t="n"/>
      <c r="EF8" s="27" t="n"/>
      <c r="EG8" s="27" t="n"/>
      <c r="EH8" s="27" t="n"/>
      <c r="EI8" s="27" t="n"/>
      <c r="EJ8" s="27" t="n"/>
      <c r="EK8" s="27" t="n"/>
      <c r="EL8" s="27" t="n"/>
      <c r="EM8" s="27" t="n"/>
      <c r="EN8" s="27" t="n"/>
      <c r="EO8" s="27" t="n"/>
      <c r="EP8" s="27" t="n"/>
      <c r="EQ8" s="27" t="n"/>
      <c r="ER8" s="27" t="n"/>
      <c r="ES8" s="27" t="n"/>
      <c r="ET8" s="27" t="n"/>
      <c r="EU8" s="27" t="n"/>
      <c r="EV8" s="27" t="n"/>
      <c r="EW8" s="27" t="n"/>
      <c r="EX8" s="27" t="n"/>
      <c r="EY8" s="27" t="n"/>
      <c r="EZ8" s="27" t="n"/>
      <c r="FA8" s="27" t="n"/>
      <c r="FB8" s="27" t="n"/>
      <c r="FC8" s="27" t="n"/>
      <c r="FD8" s="27" t="n"/>
      <c r="FE8" s="27" t="n"/>
      <c r="FF8" s="27" t="n"/>
      <c r="FG8" s="27" t="n"/>
      <c r="FH8" s="27" t="n"/>
      <c r="FI8" s="27" t="n"/>
      <c r="FJ8" s="27" t="n"/>
      <c r="FK8" s="27" t="n"/>
      <c r="FL8" s="27" t="n"/>
      <c r="FM8" s="27" t="n"/>
      <c r="FN8" s="27" t="n"/>
      <c r="FO8" s="27" t="n"/>
      <c r="FP8" s="27" t="n"/>
      <c r="FQ8" s="27" t="n"/>
      <c r="FR8" s="27" t="n"/>
      <c r="FS8" s="27" t="n"/>
      <c r="FT8" s="27" t="n"/>
      <c r="FU8" s="27" t="n"/>
      <c r="FV8" s="27" t="n"/>
      <c r="FW8" s="27" t="n"/>
      <c r="FX8" s="27" t="n"/>
      <c r="FY8" s="27" t="n"/>
      <c r="FZ8" s="27" t="n"/>
      <c r="GA8" s="27" t="n"/>
      <c r="GB8" s="27" t="n"/>
      <c r="GC8" s="27" t="n"/>
      <c r="GD8" s="27" t="n"/>
      <c r="GE8" s="27" t="n"/>
      <c r="GF8" s="27" t="n"/>
      <c r="GG8" s="27" t="n"/>
      <c r="GH8" s="27" t="n"/>
      <c r="GI8" s="27" t="n"/>
      <c r="GJ8" s="27" t="n"/>
      <c r="GK8" s="27" t="n"/>
      <c r="GL8" s="27" t="n"/>
      <c r="GM8" s="27" t="n"/>
      <c r="GN8" s="27" t="n"/>
      <c r="GO8" s="27" t="n"/>
      <c r="GP8" s="27" t="n"/>
      <c r="GQ8" s="27" t="n"/>
      <c r="GR8" s="27" t="n"/>
      <c r="GS8" s="27" t="n"/>
      <c r="GT8" s="27" t="n"/>
      <c r="GU8" s="27" t="n"/>
      <c r="GV8" s="27" t="n"/>
      <c r="GW8" s="27" t="n"/>
      <c r="GX8" s="27" t="n"/>
      <c r="GY8" s="27" t="n"/>
      <c r="GZ8" s="27" t="n"/>
      <c r="HA8" s="27" t="n"/>
      <c r="HB8" s="27" t="n"/>
      <c r="HC8" s="27" t="n"/>
      <c r="HD8" s="27" t="n"/>
      <c r="HE8" s="27" t="n"/>
      <c r="HF8" s="27" t="n"/>
      <c r="HG8" s="27" t="n"/>
      <c r="HH8" s="27" t="n"/>
      <c r="HI8" s="27" t="n"/>
      <c r="HJ8" s="27" t="n"/>
      <c r="HK8" s="27" t="n"/>
      <c r="HL8" s="27" t="n"/>
      <c r="HM8" s="27" t="n"/>
      <c r="HN8" s="27" t="n"/>
      <c r="HO8" s="27" t="n"/>
      <c r="HP8" s="27" t="n"/>
      <c r="HQ8" s="27" t="n"/>
      <c r="HR8" s="27" t="n"/>
      <c r="HS8" s="27" t="n"/>
      <c r="HT8" s="27" t="n"/>
      <c r="HU8" s="27" t="n"/>
      <c r="HV8" s="27" t="n"/>
      <c r="HW8" s="27" t="n"/>
      <c r="HX8" s="27" t="n"/>
      <c r="HY8" s="27" t="n"/>
      <c r="HZ8" s="27" t="n"/>
      <c r="IA8" s="27" t="n"/>
      <c r="IB8" s="27" t="n"/>
      <c r="IC8" s="27" t="n"/>
      <c r="ID8" s="27" t="n"/>
      <c r="IE8" s="27" t="n"/>
      <c r="IF8" s="27" t="n"/>
      <c r="IG8" s="27" t="n"/>
      <c r="IH8" s="27" t="n"/>
      <c r="II8" s="27" t="n"/>
      <c r="IJ8" s="27" t="n"/>
      <c r="IK8" s="27" t="n"/>
      <c r="IL8" s="27" t="n"/>
      <c r="IM8" s="27" t="n"/>
      <c r="IN8" s="27" t="n"/>
      <c r="IO8" s="27" t="n"/>
      <c r="IP8" s="27" t="n"/>
      <c r="IQ8" s="27" t="n"/>
      <c r="IR8" s="27" t="n"/>
      <c r="IS8" s="27" t="n"/>
      <c r="IT8" s="27" t="n"/>
      <c r="IU8" s="27" t="n"/>
      <c r="IV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  <c r="G9" s="27" t="n"/>
      <c r="H9" s="27" t="n"/>
      <c r="I9" s="27" t="n"/>
      <c r="J9" s="27" t="n"/>
      <c r="K9" s="27" t="n"/>
      <c r="L9" s="27" t="n"/>
      <c r="M9" s="27" t="n"/>
      <c r="N9" s="2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  <c r="AA9" s="27" t="n"/>
      <c r="AB9" s="27" t="n"/>
      <c r="AC9" s="27" t="n"/>
      <c r="AD9" s="27" t="n"/>
      <c r="AE9" s="27" t="n"/>
      <c r="AF9" s="27" t="n"/>
      <c r="AG9" s="27" t="n"/>
      <c r="AH9" s="27" t="n"/>
      <c r="AI9" s="27" t="n"/>
      <c r="AJ9" s="27" t="n"/>
      <c r="AK9" s="27" t="n"/>
      <c r="AL9" s="27" t="n"/>
      <c r="AM9" s="27" t="n"/>
      <c r="AN9" s="27" t="n"/>
      <c r="AO9" s="27" t="n"/>
      <c r="AP9" s="27" t="n"/>
      <c r="AQ9" s="27" t="n"/>
      <c r="AR9" s="27" t="n"/>
      <c r="AS9" s="27" t="n"/>
      <c r="AT9" s="27" t="n"/>
      <c r="AU9" s="27" t="n"/>
      <c r="AV9" s="27" t="n"/>
      <c r="AW9" s="27" t="n"/>
      <c r="AX9" s="27" t="n"/>
      <c r="AY9" s="27" t="n"/>
      <c r="AZ9" s="27" t="n"/>
      <c r="BA9" s="27" t="n"/>
      <c r="BB9" s="27" t="n"/>
      <c r="BC9" s="27" t="n"/>
      <c r="BD9" s="27" t="n"/>
      <c r="BE9" s="27" t="n"/>
      <c r="BF9" s="27" t="n"/>
      <c r="BG9" s="27" t="n"/>
      <c r="BH9" s="27" t="n"/>
      <c r="BI9" s="27" t="n"/>
      <c r="BJ9" s="27" t="n"/>
      <c r="BK9" s="27" t="n"/>
      <c r="BL9" s="27" t="n"/>
      <c r="BM9" s="27" t="n"/>
      <c r="BN9" s="27" t="n"/>
      <c r="BO9" s="27" t="n"/>
      <c r="BP9" s="27" t="n"/>
      <c r="BQ9" s="27" t="n"/>
      <c r="BR9" s="27" t="n"/>
      <c r="BS9" s="27" t="n"/>
      <c r="BT9" s="27" t="n"/>
      <c r="BU9" s="27" t="n"/>
      <c r="BV9" s="27" t="n"/>
      <c r="BW9" s="27" t="n"/>
      <c r="BX9" s="27" t="n"/>
      <c r="BY9" s="27" t="n"/>
      <c r="BZ9" s="27" t="n"/>
      <c r="CA9" s="27" t="n"/>
      <c r="CB9" s="27" t="n"/>
      <c r="CC9" s="27" t="n"/>
      <c r="CD9" s="27" t="n"/>
      <c r="CE9" s="27" t="n"/>
      <c r="CF9" s="27" t="n"/>
      <c r="CG9" s="27" t="n"/>
      <c r="CH9" s="27" t="n"/>
      <c r="CI9" s="27" t="n"/>
      <c r="CJ9" s="27" t="n"/>
      <c r="CK9" s="27" t="n"/>
      <c r="CL9" s="27" t="n"/>
      <c r="CM9" s="27" t="n"/>
      <c r="CN9" s="27" t="n"/>
      <c r="CO9" s="27" t="n"/>
      <c r="CP9" s="27" t="n"/>
      <c r="CQ9" s="27" t="n"/>
      <c r="CR9" s="27" t="n"/>
      <c r="CS9" s="27" t="n"/>
      <c r="CT9" s="27" t="n"/>
      <c r="CU9" s="27" t="n"/>
      <c r="CV9" s="27" t="n"/>
      <c r="CW9" s="27" t="n"/>
      <c r="CX9" s="27" t="n"/>
      <c r="CY9" s="27" t="n"/>
      <c r="CZ9" s="27" t="n"/>
      <c r="DA9" s="27" t="n"/>
      <c r="DB9" s="27" t="n"/>
      <c r="DC9" s="27" t="n"/>
      <c r="DD9" s="27" t="n"/>
      <c r="DE9" s="27" t="n"/>
      <c r="DF9" s="27" t="n"/>
      <c r="DG9" s="27" t="n"/>
      <c r="DH9" s="27" t="n"/>
      <c r="DI9" s="27" t="n"/>
      <c r="DJ9" s="27" t="n"/>
      <c r="DK9" s="27" t="n"/>
      <c r="DL9" s="27" t="n"/>
      <c r="DM9" s="27" t="n"/>
      <c r="DN9" s="27" t="n"/>
      <c r="DO9" s="27" t="n"/>
      <c r="DP9" s="27" t="n"/>
      <c r="DQ9" s="27" t="n"/>
      <c r="DR9" s="27" t="n"/>
      <c r="DS9" s="27" t="n"/>
      <c r="DT9" s="27" t="n"/>
      <c r="DU9" s="27" t="n"/>
      <c r="DV9" s="27" t="n"/>
      <c r="DW9" s="27" t="n"/>
      <c r="DX9" s="27" t="n"/>
      <c r="DY9" s="27" t="n"/>
      <c r="DZ9" s="27" t="n"/>
      <c r="EA9" s="27" t="n"/>
      <c r="EB9" s="27" t="n"/>
      <c r="EC9" s="27" t="n"/>
      <c r="ED9" s="27" t="n"/>
      <c r="EE9" s="27" t="n"/>
      <c r="EF9" s="27" t="n"/>
      <c r="EG9" s="27" t="n"/>
      <c r="EH9" s="27" t="n"/>
      <c r="EI9" s="27" t="n"/>
      <c r="EJ9" s="27" t="n"/>
      <c r="EK9" s="27" t="n"/>
      <c r="EL9" s="27" t="n"/>
      <c r="EM9" s="27" t="n"/>
      <c r="EN9" s="27" t="n"/>
      <c r="EO9" s="27" t="n"/>
      <c r="EP9" s="27" t="n"/>
      <c r="EQ9" s="27" t="n"/>
      <c r="ER9" s="27" t="n"/>
      <c r="ES9" s="27" t="n"/>
      <c r="ET9" s="27" t="n"/>
      <c r="EU9" s="27" t="n"/>
      <c r="EV9" s="27" t="n"/>
      <c r="EW9" s="27" t="n"/>
      <c r="EX9" s="27" t="n"/>
      <c r="EY9" s="27" t="n"/>
      <c r="EZ9" s="27" t="n"/>
      <c r="FA9" s="27" t="n"/>
      <c r="FB9" s="27" t="n"/>
      <c r="FC9" s="27" t="n"/>
      <c r="FD9" s="27" t="n"/>
      <c r="FE9" s="27" t="n"/>
      <c r="FF9" s="27" t="n"/>
      <c r="FG9" s="27" t="n"/>
      <c r="FH9" s="27" t="n"/>
      <c r="FI9" s="27" t="n"/>
      <c r="FJ9" s="27" t="n"/>
      <c r="FK9" s="27" t="n"/>
      <c r="FL9" s="27" t="n"/>
      <c r="FM9" s="27" t="n"/>
      <c r="FN9" s="27" t="n"/>
      <c r="FO9" s="27" t="n"/>
      <c r="FP9" s="27" t="n"/>
      <c r="FQ9" s="27" t="n"/>
      <c r="FR9" s="27" t="n"/>
      <c r="FS9" s="27" t="n"/>
      <c r="FT9" s="27" t="n"/>
      <c r="FU9" s="27" t="n"/>
      <c r="FV9" s="27" t="n"/>
      <c r="FW9" s="27" t="n"/>
      <c r="FX9" s="27" t="n"/>
      <c r="FY9" s="27" t="n"/>
      <c r="FZ9" s="27" t="n"/>
      <c r="GA9" s="27" t="n"/>
      <c r="GB9" s="27" t="n"/>
      <c r="GC9" s="27" t="n"/>
      <c r="GD9" s="27" t="n"/>
      <c r="GE9" s="27" t="n"/>
      <c r="GF9" s="27" t="n"/>
      <c r="GG9" s="27" t="n"/>
      <c r="GH9" s="27" t="n"/>
      <c r="GI9" s="27" t="n"/>
      <c r="GJ9" s="27" t="n"/>
      <c r="GK9" s="27" t="n"/>
      <c r="GL9" s="27" t="n"/>
      <c r="GM9" s="27" t="n"/>
      <c r="GN9" s="27" t="n"/>
      <c r="GO9" s="27" t="n"/>
      <c r="GP9" s="27" t="n"/>
      <c r="GQ9" s="27" t="n"/>
      <c r="GR9" s="27" t="n"/>
      <c r="GS9" s="27" t="n"/>
      <c r="GT9" s="27" t="n"/>
      <c r="GU9" s="27" t="n"/>
      <c r="GV9" s="27" t="n"/>
      <c r="GW9" s="27" t="n"/>
      <c r="GX9" s="27" t="n"/>
      <c r="GY9" s="27" t="n"/>
      <c r="GZ9" s="27" t="n"/>
      <c r="HA9" s="27" t="n"/>
      <c r="HB9" s="27" t="n"/>
      <c r="HC9" s="27" t="n"/>
      <c r="HD9" s="27" t="n"/>
      <c r="HE9" s="27" t="n"/>
      <c r="HF9" s="27" t="n"/>
      <c r="HG9" s="27" t="n"/>
      <c r="HH9" s="27" t="n"/>
      <c r="HI9" s="27" t="n"/>
      <c r="HJ9" s="27" t="n"/>
      <c r="HK9" s="27" t="n"/>
      <c r="HL9" s="27" t="n"/>
      <c r="HM9" s="27" t="n"/>
      <c r="HN9" s="27" t="n"/>
      <c r="HO9" s="27" t="n"/>
      <c r="HP9" s="27" t="n"/>
      <c r="HQ9" s="27" t="n"/>
      <c r="HR9" s="27" t="n"/>
      <c r="HS9" s="27" t="n"/>
      <c r="HT9" s="27" t="n"/>
      <c r="HU9" s="27" t="n"/>
      <c r="HV9" s="27" t="n"/>
      <c r="HW9" s="27" t="n"/>
      <c r="HX9" s="27" t="n"/>
      <c r="HY9" s="27" t="n"/>
      <c r="HZ9" s="27" t="n"/>
      <c r="IA9" s="27" t="n"/>
      <c r="IB9" s="27" t="n"/>
      <c r="IC9" s="27" t="n"/>
      <c r="ID9" s="27" t="n"/>
      <c r="IE9" s="27" t="n"/>
      <c r="IF9" s="27" t="n"/>
      <c r="IG9" s="27" t="n"/>
      <c r="IH9" s="27" t="n"/>
      <c r="II9" s="27" t="n"/>
      <c r="IJ9" s="27" t="n"/>
      <c r="IK9" s="27" t="n"/>
      <c r="IL9" s="27" t="n"/>
      <c r="IM9" s="27" t="n"/>
      <c r="IN9" s="27" t="n"/>
      <c r="IO9" s="27" t="n"/>
      <c r="IP9" s="27" t="n"/>
      <c r="IQ9" s="27" t="n"/>
      <c r="IR9" s="27" t="n"/>
      <c r="IS9" s="27" t="n"/>
      <c r="IT9" s="27" t="n"/>
      <c r="IU9" s="27" t="n"/>
      <c r="IV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  <c r="G10" s="27" t="n"/>
      <c r="H10" s="27" t="n"/>
      <c r="I10" s="27" t="n"/>
      <c r="J10" s="27" t="n"/>
      <c r="K10" s="27" t="n"/>
      <c r="L10" s="27" t="n"/>
      <c r="M10" s="27" t="n"/>
      <c r="N10" s="2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  <c r="AA10" s="27" t="n"/>
      <c r="AB10" s="27" t="n"/>
      <c r="AC10" s="27" t="n"/>
      <c r="AD10" s="27" t="n"/>
      <c r="AE10" s="27" t="n"/>
      <c r="AF10" s="27" t="n"/>
      <c r="AG10" s="27" t="n"/>
      <c r="AH10" s="27" t="n"/>
      <c r="AI10" s="27" t="n"/>
      <c r="AJ10" s="27" t="n"/>
      <c r="AK10" s="27" t="n"/>
      <c r="AL10" s="27" t="n"/>
      <c r="AM10" s="27" t="n"/>
      <c r="AN10" s="27" t="n"/>
      <c r="AO10" s="27" t="n"/>
      <c r="AP10" s="27" t="n"/>
      <c r="AQ10" s="27" t="n"/>
      <c r="AR10" s="27" t="n"/>
      <c r="AS10" s="27" t="n"/>
      <c r="AT10" s="27" t="n"/>
      <c r="AU10" s="27" t="n"/>
      <c r="AV10" s="27" t="n"/>
      <c r="AW10" s="27" t="n"/>
      <c r="AX10" s="27" t="n"/>
      <c r="AY10" s="27" t="n"/>
      <c r="AZ10" s="27" t="n"/>
      <c r="BA10" s="27" t="n"/>
      <c r="BB10" s="27" t="n"/>
      <c r="BC10" s="27" t="n"/>
      <c r="BD10" s="27" t="n"/>
      <c r="BE10" s="27" t="n"/>
      <c r="BF10" s="27" t="n"/>
      <c r="BG10" s="27" t="n"/>
      <c r="BH10" s="27" t="n"/>
      <c r="BI10" s="27" t="n"/>
      <c r="BJ10" s="27" t="n"/>
      <c r="BK10" s="27" t="n"/>
      <c r="BL10" s="27" t="n"/>
      <c r="BM10" s="27" t="n"/>
      <c r="BN10" s="27" t="n"/>
      <c r="BO10" s="27" t="n"/>
      <c r="BP10" s="27" t="n"/>
      <c r="BQ10" s="27" t="n"/>
      <c r="BR10" s="27" t="n"/>
      <c r="BS10" s="27" t="n"/>
      <c r="BT10" s="27" t="n"/>
      <c r="BU10" s="27" t="n"/>
      <c r="BV10" s="27" t="n"/>
      <c r="BW10" s="27" t="n"/>
      <c r="BX10" s="27" t="n"/>
      <c r="BY10" s="27" t="n"/>
      <c r="BZ10" s="27" t="n"/>
      <c r="CA10" s="27" t="n"/>
      <c r="CB10" s="27" t="n"/>
      <c r="CC10" s="27" t="n"/>
      <c r="CD10" s="27" t="n"/>
      <c r="CE10" s="27" t="n"/>
      <c r="CF10" s="27" t="n"/>
      <c r="CG10" s="27" t="n"/>
      <c r="CH10" s="27" t="n"/>
      <c r="CI10" s="27" t="n"/>
      <c r="CJ10" s="27" t="n"/>
      <c r="CK10" s="27" t="n"/>
      <c r="CL10" s="27" t="n"/>
      <c r="CM10" s="27" t="n"/>
      <c r="CN10" s="27" t="n"/>
      <c r="CO10" s="27" t="n"/>
      <c r="CP10" s="27" t="n"/>
      <c r="CQ10" s="27" t="n"/>
      <c r="CR10" s="27" t="n"/>
      <c r="CS10" s="27" t="n"/>
      <c r="CT10" s="27" t="n"/>
      <c r="CU10" s="27" t="n"/>
      <c r="CV10" s="27" t="n"/>
      <c r="CW10" s="27" t="n"/>
      <c r="CX10" s="27" t="n"/>
      <c r="CY10" s="27" t="n"/>
      <c r="CZ10" s="27" t="n"/>
      <c r="DA10" s="27" t="n"/>
      <c r="DB10" s="27" t="n"/>
      <c r="DC10" s="27" t="n"/>
      <c r="DD10" s="27" t="n"/>
      <c r="DE10" s="27" t="n"/>
      <c r="DF10" s="27" t="n"/>
      <c r="DG10" s="27" t="n"/>
      <c r="DH10" s="27" t="n"/>
      <c r="DI10" s="27" t="n"/>
      <c r="DJ10" s="27" t="n"/>
      <c r="DK10" s="27" t="n"/>
      <c r="DL10" s="27" t="n"/>
      <c r="DM10" s="27" t="n"/>
      <c r="DN10" s="27" t="n"/>
      <c r="DO10" s="27" t="n"/>
      <c r="DP10" s="27" t="n"/>
      <c r="DQ10" s="27" t="n"/>
      <c r="DR10" s="27" t="n"/>
      <c r="DS10" s="27" t="n"/>
      <c r="DT10" s="27" t="n"/>
      <c r="DU10" s="27" t="n"/>
      <c r="DV10" s="27" t="n"/>
      <c r="DW10" s="27" t="n"/>
      <c r="DX10" s="27" t="n"/>
      <c r="DY10" s="27" t="n"/>
      <c r="DZ10" s="27" t="n"/>
      <c r="EA10" s="27" t="n"/>
      <c r="EB10" s="27" t="n"/>
      <c r="EC10" s="27" t="n"/>
      <c r="ED10" s="27" t="n"/>
      <c r="EE10" s="27" t="n"/>
      <c r="EF10" s="27" t="n"/>
      <c r="EG10" s="27" t="n"/>
      <c r="EH10" s="27" t="n"/>
      <c r="EI10" s="27" t="n"/>
      <c r="EJ10" s="27" t="n"/>
      <c r="EK10" s="27" t="n"/>
      <c r="EL10" s="27" t="n"/>
      <c r="EM10" s="27" t="n"/>
      <c r="EN10" s="27" t="n"/>
      <c r="EO10" s="27" t="n"/>
      <c r="EP10" s="27" t="n"/>
      <c r="EQ10" s="27" t="n"/>
      <c r="ER10" s="27" t="n"/>
      <c r="ES10" s="27" t="n"/>
      <c r="ET10" s="27" t="n"/>
      <c r="EU10" s="27" t="n"/>
      <c r="EV10" s="27" t="n"/>
      <c r="EW10" s="27" t="n"/>
      <c r="EX10" s="27" t="n"/>
      <c r="EY10" s="27" t="n"/>
      <c r="EZ10" s="27" t="n"/>
      <c r="FA10" s="27" t="n"/>
      <c r="FB10" s="27" t="n"/>
      <c r="FC10" s="27" t="n"/>
      <c r="FD10" s="27" t="n"/>
      <c r="FE10" s="27" t="n"/>
      <c r="FF10" s="27" t="n"/>
      <c r="FG10" s="27" t="n"/>
      <c r="FH10" s="27" t="n"/>
      <c r="FI10" s="27" t="n"/>
      <c r="FJ10" s="27" t="n"/>
      <c r="FK10" s="27" t="n"/>
      <c r="FL10" s="27" t="n"/>
      <c r="FM10" s="27" t="n"/>
      <c r="FN10" s="27" t="n"/>
      <c r="FO10" s="27" t="n"/>
      <c r="FP10" s="27" t="n"/>
      <c r="FQ10" s="27" t="n"/>
      <c r="FR10" s="27" t="n"/>
      <c r="FS10" s="27" t="n"/>
      <c r="FT10" s="27" t="n"/>
      <c r="FU10" s="27" t="n"/>
      <c r="FV10" s="27" t="n"/>
      <c r="FW10" s="27" t="n"/>
      <c r="FX10" s="27" t="n"/>
      <c r="FY10" s="27" t="n"/>
      <c r="FZ10" s="27" t="n"/>
      <c r="GA10" s="27" t="n"/>
      <c r="GB10" s="27" t="n"/>
      <c r="GC10" s="27" t="n"/>
      <c r="GD10" s="27" t="n"/>
      <c r="GE10" s="27" t="n"/>
      <c r="GF10" s="27" t="n"/>
      <c r="GG10" s="27" t="n"/>
      <c r="GH10" s="27" t="n"/>
      <c r="GI10" s="27" t="n"/>
      <c r="GJ10" s="27" t="n"/>
      <c r="GK10" s="27" t="n"/>
      <c r="GL10" s="27" t="n"/>
      <c r="GM10" s="27" t="n"/>
      <c r="GN10" s="27" t="n"/>
      <c r="GO10" s="27" t="n"/>
      <c r="GP10" s="27" t="n"/>
      <c r="GQ10" s="27" t="n"/>
      <c r="GR10" s="27" t="n"/>
      <c r="GS10" s="27" t="n"/>
      <c r="GT10" s="27" t="n"/>
      <c r="GU10" s="27" t="n"/>
      <c r="GV10" s="27" t="n"/>
      <c r="GW10" s="27" t="n"/>
      <c r="GX10" s="27" t="n"/>
      <c r="GY10" s="27" t="n"/>
      <c r="GZ10" s="27" t="n"/>
      <c r="HA10" s="27" t="n"/>
      <c r="HB10" s="27" t="n"/>
      <c r="HC10" s="27" t="n"/>
      <c r="HD10" s="27" t="n"/>
      <c r="HE10" s="27" t="n"/>
      <c r="HF10" s="27" t="n"/>
      <c r="HG10" s="27" t="n"/>
      <c r="HH10" s="27" t="n"/>
      <c r="HI10" s="27" t="n"/>
      <c r="HJ10" s="27" t="n"/>
      <c r="HK10" s="27" t="n"/>
      <c r="HL10" s="27" t="n"/>
      <c r="HM10" s="27" t="n"/>
      <c r="HN10" s="27" t="n"/>
      <c r="HO10" s="27" t="n"/>
      <c r="HP10" s="27" t="n"/>
      <c r="HQ10" s="27" t="n"/>
      <c r="HR10" s="27" t="n"/>
      <c r="HS10" s="27" t="n"/>
      <c r="HT10" s="27" t="n"/>
      <c r="HU10" s="27" t="n"/>
      <c r="HV10" s="27" t="n"/>
      <c r="HW10" s="27" t="n"/>
      <c r="HX10" s="27" t="n"/>
      <c r="HY10" s="27" t="n"/>
      <c r="HZ10" s="27" t="n"/>
      <c r="IA10" s="27" t="n"/>
      <c r="IB10" s="27" t="n"/>
      <c r="IC10" s="27" t="n"/>
      <c r="ID10" s="27" t="n"/>
      <c r="IE10" s="27" t="n"/>
      <c r="IF10" s="27" t="n"/>
      <c r="IG10" s="27" t="n"/>
      <c r="IH10" s="27" t="n"/>
      <c r="II10" s="27" t="n"/>
      <c r="IJ10" s="27" t="n"/>
      <c r="IK10" s="27" t="n"/>
      <c r="IL10" s="27" t="n"/>
      <c r="IM10" s="27" t="n"/>
      <c r="IN10" s="27" t="n"/>
      <c r="IO10" s="27" t="n"/>
      <c r="IP10" s="27" t="n"/>
      <c r="IQ10" s="27" t="n"/>
      <c r="IR10" s="27" t="n"/>
      <c r="IS10" s="27" t="n"/>
      <c r="IT10" s="27" t="n"/>
      <c r="IU10" s="27" t="n"/>
      <c r="IV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  <c r="G11" s="27" t="n"/>
      <c r="H11" s="27" t="n"/>
      <c r="I11" s="27" t="n"/>
      <c r="J11" s="27" t="n"/>
      <c r="K11" s="27" t="n"/>
      <c r="L11" s="27" t="n"/>
      <c r="M11" s="27" t="n"/>
      <c r="N11" s="27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  <c r="AA11" s="27" t="n"/>
      <c r="AB11" s="27" t="n"/>
      <c r="AC11" s="27" t="n"/>
      <c r="AD11" s="27" t="n"/>
      <c r="AE11" s="27" t="n"/>
      <c r="AF11" s="27" t="n"/>
      <c r="AG11" s="27" t="n"/>
      <c r="AH11" s="27" t="n"/>
      <c r="AI11" s="27" t="n"/>
      <c r="AJ11" s="27" t="n"/>
      <c r="AK11" s="27" t="n"/>
      <c r="AL11" s="27" t="n"/>
      <c r="AM11" s="27" t="n"/>
      <c r="AN11" s="27" t="n"/>
      <c r="AO11" s="27" t="n"/>
      <c r="AP11" s="27" t="n"/>
      <c r="AQ11" s="27" t="n"/>
      <c r="AR11" s="27" t="n"/>
      <c r="AS11" s="27" t="n"/>
      <c r="AT11" s="27" t="n"/>
      <c r="AU11" s="27" t="n"/>
      <c r="AV11" s="27" t="n"/>
      <c r="AW11" s="27" t="n"/>
      <c r="AX11" s="27" t="n"/>
      <c r="AY11" s="27" t="n"/>
      <c r="AZ11" s="27" t="n"/>
      <c r="BA11" s="27" t="n"/>
      <c r="BB11" s="27" t="n"/>
      <c r="BC11" s="27" t="n"/>
      <c r="BD11" s="27" t="n"/>
      <c r="BE11" s="27" t="n"/>
      <c r="BF11" s="27" t="n"/>
      <c r="BG11" s="27" t="n"/>
      <c r="BH11" s="27" t="n"/>
      <c r="BI11" s="27" t="n"/>
      <c r="BJ11" s="27" t="n"/>
      <c r="BK11" s="27" t="n"/>
      <c r="BL11" s="27" t="n"/>
      <c r="BM11" s="27" t="n"/>
      <c r="BN11" s="27" t="n"/>
      <c r="BO11" s="27" t="n"/>
      <c r="BP11" s="27" t="n"/>
      <c r="BQ11" s="27" t="n"/>
      <c r="BR11" s="27" t="n"/>
      <c r="BS11" s="27" t="n"/>
      <c r="BT11" s="27" t="n"/>
      <c r="BU11" s="27" t="n"/>
      <c r="BV11" s="27" t="n"/>
      <c r="BW11" s="27" t="n"/>
      <c r="BX11" s="27" t="n"/>
      <c r="BY11" s="27" t="n"/>
      <c r="BZ11" s="27" t="n"/>
      <c r="CA11" s="27" t="n"/>
      <c r="CB11" s="27" t="n"/>
      <c r="CC11" s="27" t="n"/>
      <c r="CD11" s="27" t="n"/>
      <c r="CE11" s="27" t="n"/>
      <c r="CF11" s="27" t="n"/>
      <c r="CG11" s="27" t="n"/>
      <c r="CH11" s="27" t="n"/>
      <c r="CI11" s="27" t="n"/>
      <c r="CJ11" s="27" t="n"/>
      <c r="CK11" s="27" t="n"/>
      <c r="CL11" s="27" t="n"/>
      <c r="CM11" s="27" t="n"/>
      <c r="CN11" s="27" t="n"/>
      <c r="CO11" s="27" t="n"/>
      <c r="CP11" s="27" t="n"/>
      <c r="CQ11" s="27" t="n"/>
      <c r="CR11" s="27" t="n"/>
      <c r="CS11" s="27" t="n"/>
      <c r="CT11" s="27" t="n"/>
      <c r="CU11" s="27" t="n"/>
      <c r="CV11" s="27" t="n"/>
      <c r="CW11" s="27" t="n"/>
      <c r="CX11" s="27" t="n"/>
      <c r="CY11" s="27" t="n"/>
      <c r="CZ11" s="27" t="n"/>
      <c r="DA11" s="27" t="n"/>
      <c r="DB11" s="27" t="n"/>
      <c r="DC11" s="27" t="n"/>
      <c r="DD11" s="27" t="n"/>
      <c r="DE11" s="27" t="n"/>
      <c r="DF11" s="27" t="n"/>
      <c r="DG11" s="27" t="n"/>
      <c r="DH11" s="27" t="n"/>
      <c r="DI11" s="27" t="n"/>
      <c r="DJ11" s="27" t="n"/>
      <c r="DK11" s="27" t="n"/>
      <c r="DL11" s="27" t="n"/>
      <c r="DM11" s="27" t="n"/>
      <c r="DN11" s="27" t="n"/>
      <c r="DO11" s="27" t="n"/>
      <c r="DP11" s="27" t="n"/>
      <c r="DQ11" s="27" t="n"/>
      <c r="DR11" s="27" t="n"/>
      <c r="DS11" s="27" t="n"/>
      <c r="DT11" s="27" t="n"/>
      <c r="DU11" s="27" t="n"/>
      <c r="DV11" s="27" t="n"/>
      <c r="DW11" s="27" t="n"/>
      <c r="DX11" s="27" t="n"/>
      <c r="DY11" s="27" t="n"/>
      <c r="DZ11" s="27" t="n"/>
      <c r="EA11" s="27" t="n"/>
      <c r="EB11" s="27" t="n"/>
      <c r="EC11" s="27" t="n"/>
      <c r="ED11" s="27" t="n"/>
      <c r="EE11" s="27" t="n"/>
      <c r="EF11" s="27" t="n"/>
      <c r="EG11" s="27" t="n"/>
      <c r="EH11" s="27" t="n"/>
      <c r="EI11" s="27" t="n"/>
      <c r="EJ11" s="27" t="n"/>
      <c r="EK11" s="27" t="n"/>
      <c r="EL11" s="27" t="n"/>
      <c r="EM11" s="27" t="n"/>
      <c r="EN11" s="27" t="n"/>
      <c r="EO11" s="27" t="n"/>
      <c r="EP11" s="27" t="n"/>
      <c r="EQ11" s="27" t="n"/>
      <c r="ER11" s="27" t="n"/>
      <c r="ES11" s="27" t="n"/>
      <c r="ET11" s="27" t="n"/>
      <c r="EU11" s="27" t="n"/>
      <c r="EV11" s="27" t="n"/>
      <c r="EW11" s="27" t="n"/>
      <c r="EX11" s="27" t="n"/>
      <c r="EY11" s="27" t="n"/>
      <c r="EZ11" s="27" t="n"/>
      <c r="FA11" s="27" t="n"/>
      <c r="FB11" s="27" t="n"/>
      <c r="FC11" s="27" t="n"/>
      <c r="FD11" s="27" t="n"/>
      <c r="FE11" s="27" t="n"/>
      <c r="FF11" s="27" t="n"/>
      <c r="FG11" s="27" t="n"/>
      <c r="FH11" s="27" t="n"/>
      <c r="FI11" s="27" t="n"/>
      <c r="FJ11" s="27" t="n"/>
      <c r="FK11" s="27" t="n"/>
      <c r="FL11" s="27" t="n"/>
      <c r="FM11" s="27" t="n"/>
      <c r="FN11" s="27" t="n"/>
      <c r="FO11" s="27" t="n"/>
      <c r="FP11" s="27" t="n"/>
      <c r="FQ11" s="27" t="n"/>
      <c r="FR11" s="27" t="n"/>
      <c r="FS11" s="27" t="n"/>
      <c r="FT11" s="27" t="n"/>
      <c r="FU11" s="27" t="n"/>
      <c r="FV11" s="27" t="n"/>
      <c r="FW11" s="27" t="n"/>
      <c r="FX11" s="27" t="n"/>
      <c r="FY11" s="27" t="n"/>
      <c r="FZ11" s="27" t="n"/>
      <c r="GA11" s="27" t="n"/>
      <c r="GB11" s="27" t="n"/>
      <c r="GC11" s="27" t="n"/>
      <c r="GD11" s="27" t="n"/>
      <c r="GE11" s="27" t="n"/>
      <c r="GF11" s="27" t="n"/>
      <c r="GG11" s="27" t="n"/>
      <c r="GH11" s="27" t="n"/>
      <c r="GI11" s="27" t="n"/>
      <c r="GJ11" s="27" t="n"/>
      <c r="GK11" s="27" t="n"/>
      <c r="GL11" s="27" t="n"/>
      <c r="GM11" s="27" t="n"/>
      <c r="GN11" s="27" t="n"/>
      <c r="GO11" s="27" t="n"/>
      <c r="GP11" s="27" t="n"/>
      <c r="GQ11" s="27" t="n"/>
      <c r="GR11" s="27" t="n"/>
      <c r="GS11" s="27" t="n"/>
      <c r="GT11" s="27" t="n"/>
      <c r="GU11" s="27" t="n"/>
      <c r="GV11" s="27" t="n"/>
      <c r="GW11" s="27" t="n"/>
      <c r="GX11" s="27" t="n"/>
      <c r="GY11" s="27" t="n"/>
      <c r="GZ11" s="27" t="n"/>
      <c r="HA11" s="27" t="n"/>
      <c r="HB11" s="27" t="n"/>
      <c r="HC11" s="27" t="n"/>
      <c r="HD11" s="27" t="n"/>
      <c r="HE11" s="27" t="n"/>
      <c r="HF11" s="27" t="n"/>
      <c r="HG11" s="27" t="n"/>
      <c r="HH11" s="27" t="n"/>
      <c r="HI11" s="27" t="n"/>
      <c r="HJ11" s="27" t="n"/>
      <c r="HK11" s="27" t="n"/>
      <c r="HL11" s="27" t="n"/>
      <c r="HM11" s="27" t="n"/>
      <c r="HN11" s="27" t="n"/>
      <c r="HO11" s="27" t="n"/>
      <c r="HP11" s="27" t="n"/>
      <c r="HQ11" s="27" t="n"/>
      <c r="HR11" s="27" t="n"/>
      <c r="HS11" s="27" t="n"/>
      <c r="HT11" s="27" t="n"/>
      <c r="HU11" s="27" t="n"/>
      <c r="HV11" s="27" t="n"/>
      <c r="HW11" s="27" t="n"/>
      <c r="HX11" s="27" t="n"/>
      <c r="HY11" s="27" t="n"/>
      <c r="HZ11" s="27" t="n"/>
      <c r="IA11" s="27" t="n"/>
      <c r="IB11" s="27" t="n"/>
      <c r="IC11" s="27" t="n"/>
      <c r="ID11" s="27" t="n"/>
      <c r="IE11" s="27" t="n"/>
      <c r="IF11" s="27" t="n"/>
      <c r="IG11" s="27" t="n"/>
      <c r="IH11" s="27" t="n"/>
      <c r="II11" s="27" t="n"/>
      <c r="IJ11" s="27" t="n"/>
      <c r="IK11" s="27" t="n"/>
      <c r="IL11" s="27" t="n"/>
      <c r="IM11" s="27" t="n"/>
      <c r="IN11" s="27" t="n"/>
      <c r="IO11" s="27" t="n"/>
      <c r="IP11" s="27" t="n"/>
      <c r="IQ11" s="27" t="n"/>
      <c r="IR11" s="27" t="n"/>
      <c r="IS11" s="27" t="n"/>
      <c r="IT11" s="27" t="n"/>
      <c r="IU11" s="27" t="n"/>
      <c r="IV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  <c r="AA12" s="27" t="n"/>
      <c r="AB12" s="27" t="n"/>
      <c r="AC12" s="27" t="n"/>
      <c r="AD12" s="27" t="n"/>
      <c r="AE12" s="27" t="n"/>
      <c r="AF12" s="27" t="n"/>
      <c r="AG12" s="27" t="n"/>
      <c r="AH12" s="27" t="n"/>
      <c r="AI12" s="27" t="n"/>
      <c r="AJ12" s="27" t="n"/>
      <c r="AK12" s="27" t="n"/>
      <c r="AL12" s="27" t="n"/>
      <c r="AM12" s="27" t="n"/>
      <c r="AN12" s="27" t="n"/>
      <c r="AO12" s="27" t="n"/>
      <c r="AP12" s="27" t="n"/>
      <c r="AQ12" s="27" t="n"/>
      <c r="AR12" s="27" t="n"/>
      <c r="AS12" s="27" t="n"/>
      <c r="AT12" s="27" t="n"/>
      <c r="AU12" s="27" t="n"/>
      <c r="AV12" s="27" t="n"/>
      <c r="AW12" s="27" t="n"/>
      <c r="AX12" s="27" t="n"/>
      <c r="AY12" s="27" t="n"/>
      <c r="AZ12" s="27" t="n"/>
      <c r="BA12" s="27" t="n"/>
      <c r="BB12" s="27" t="n"/>
      <c r="BC12" s="27" t="n"/>
      <c r="BD12" s="27" t="n"/>
      <c r="BE12" s="27" t="n"/>
      <c r="BF12" s="27" t="n"/>
      <c r="BG12" s="27" t="n"/>
      <c r="BH12" s="27" t="n"/>
      <c r="BI12" s="27" t="n"/>
      <c r="BJ12" s="27" t="n"/>
      <c r="BK12" s="27" t="n"/>
      <c r="BL12" s="27" t="n"/>
      <c r="BM12" s="27" t="n"/>
      <c r="BN12" s="27" t="n"/>
      <c r="BO12" s="27" t="n"/>
      <c r="BP12" s="27" t="n"/>
      <c r="BQ12" s="27" t="n"/>
      <c r="BR12" s="27" t="n"/>
      <c r="BS12" s="27" t="n"/>
      <c r="BT12" s="27" t="n"/>
      <c r="BU12" s="27" t="n"/>
      <c r="BV12" s="27" t="n"/>
      <c r="BW12" s="27" t="n"/>
      <c r="BX12" s="27" t="n"/>
      <c r="BY12" s="27" t="n"/>
      <c r="BZ12" s="27" t="n"/>
      <c r="CA12" s="27" t="n"/>
      <c r="CB12" s="27" t="n"/>
      <c r="CC12" s="27" t="n"/>
      <c r="CD12" s="27" t="n"/>
      <c r="CE12" s="27" t="n"/>
      <c r="CF12" s="27" t="n"/>
      <c r="CG12" s="27" t="n"/>
      <c r="CH12" s="27" t="n"/>
      <c r="CI12" s="27" t="n"/>
      <c r="CJ12" s="27" t="n"/>
      <c r="CK12" s="27" t="n"/>
      <c r="CL12" s="27" t="n"/>
      <c r="CM12" s="27" t="n"/>
      <c r="CN12" s="27" t="n"/>
      <c r="CO12" s="27" t="n"/>
      <c r="CP12" s="27" t="n"/>
      <c r="CQ12" s="27" t="n"/>
      <c r="CR12" s="27" t="n"/>
      <c r="CS12" s="27" t="n"/>
      <c r="CT12" s="27" t="n"/>
      <c r="CU12" s="27" t="n"/>
      <c r="CV12" s="27" t="n"/>
      <c r="CW12" s="27" t="n"/>
      <c r="CX12" s="27" t="n"/>
      <c r="CY12" s="27" t="n"/>
      <c r="CZ12" s="27" t="n"/>
      <c r="DA12" s="27" t="n"/>
      <c r="DB12" s="27" t="n"/>
      <c r="DC12" s="27" t="n"/>
      <c r="DD12" s="27" t="n"/>
      <c r="DE12" s="27" t="n"/>
      <c r="DF12" s="27" t="n"/>
      <c r="DG12" s="27" t="n"/>
      <c r="DH12" s="27" t="n"/>
      <c r="DI12" s="27" t="n"/>
      <c r="DJ12" s="27" t="n"/>
      <c r="DK12" s="27" t="n"/>
      <c r="DL12" s="27" t="n"/>
      <c r="DM12" s="27" t="n"/>
      <c r="DN12" s="27" t="n"/>
      <c r="DO12" s="27" t="n"/>
      <c r="DP12" s="27" t="n"/>
      <c r="DQ12" s="27" t="n"/>
      <c r="DR12" s="27" t="n"/>
      <c r="DS12" s="27" t="n"/>
      <c r="DT12" s="27" t="n"/>
      <c r="DU12" s="27" t="n"/>
      <c r="DV12" s="27" t="n"/>
      <c r="DW12" s="27" t="n"/>
      <c r="DX12" s="27" t="n"/>
      <c r="DY12" s="27" t="n"/>
      <c r="DZ12" s="27" t="n"/>
      <c r="EA12" s="27" t="n"/>
      <c r="EB12" s="27" t="n"/>
      <c r="EC12" s="27" t="n"/>
      <c r="ED12" s="27" t="n"/>
      <c r="EE12" s="27" t="n"/>
      <c r="EF12" s="27" t="n"/>
      <c r="EG12" s="27" t="n"/>
      <c r="EH12" s="27" t="n"/>
      <c r="EI12" s="27" t="n"/>
      <c r="EJ12" s="27" t="n"/>
      <c r="EK12" s="27" t="n"/>
      <c r="EL12" s="27" t="n"/>
      <c r="EM12" s="27" t="n"/>
      <c r="EN12" s="27" t="n"/>
      <c r="EO12" s="27" t="n"/>
      <c r="EP12" s="27" t="n"/>
      <c r="EQ12" s="27" t="n"/>
      <c r="ER12" s="27" t="n"/>
      <c r="ES12" s="27" t="n"/>
      <c r="ET12" s="27" t="n"/>
      <c r="EU12" s="27" t="n"/>
      <c r="EV12" s="27" t="n"/>
      <c r="EW12" s="27" t="n"/>
      <c r="EX12" s="27" t="n"/>
      <c r="EY12" s="27" t="n"/>
      <c r="EZ12" s="27" t="n"/>
      <c r="FA12" s="27" t="n"/>
      <c r="FB12" s="27" t="n"/>
      <c r="FC12" s="27" t="n"/>
      <c r="FD12" s="27" t="n"/>
      <c r="FE12" s="27" t="n"/>
      <c r="FF12" s="27" t="n"/>
      <c r="FG12" s="27" t="n"/>
      <c r="FH12" s="27" t="n"/>
      <c r="FI12" s="27" t="n"/>
      <c r="FJ12" s="27" t="n"/>
      <c r="FK12" s="27" t="n"/>
      <c r="FL12" s="27" t="n"/>
      <c r="FM12" s="27" t="n"/>
      <c r="FN12" s="27" t="n"/>
      <c r="FO12" s="27" t="n"/>
      <c r="FP12" s="27" t="n"/>
      <c r="FQ12" s="27" t="n"/>
      <c r="FR12" s="27" t="n"/>
      <c r="FS12" s="27" t="n"/>
      <c r="FT12" s="27" t="n"/>
      <c r="FU12" s="27" t="n"/>
      <c r="FV12" s="27" t="n"/>
      <c r="FW12" s="27" t="n"/>
      <c r="FX12" s="27" t="n"/>
      <c r="FY12" s="27" t="n"/>
      <c r="FZ12" s="27" t="n"/>
      <c r="GA12" s="27" t="n"/>
      <c r="GB12" s="27" t="n"/>
      <c r="GC12" s="27" t="n"/>
      <c r="GD12" s="27" t="n"/>
      <c r="GE12" s="27" t="n"/>
      <c r="GF12" s="27" t="n"/>
      <c r="GG12" s="27" t="n"/>
      <c r="GH12" s="27" t="n"/>
      <c r="GI12" s="27" t="n"/>
      <c r="GJ12" s="27" t="n"/>
      <c r="GK12" s="27" t="n"/>
      <c r="GL12" s="27" t="n"/>
      <c r="GM12" s="27" t="n"/>
      <c r="GN12" s="27" t="n"/>
      <c r="GO12" s="27" t="n"/>
      <c r="GP12" s="27" t="n"/>
      <c r="GQ12" s="27" t="n"/>
      <c r="GR12" s="27" t="n"/>
      <c r="GS12" s="27" t="n"/>
      <c r="GT12" s="27" t="n"/>
      <c r="GU12" s="27" t="n"/>
      <c r="GV12" s="27" t="n"/>
      <c r="GW12" s="27" t="n"/>
      <c r="GX12" s="27" t="n"/>
      <c r="GY12" s="27" t="n"/>
      <c r="GZ12" s="27" t="n"/>
      <c r="HA12" s="27" t="n"/>
      <c r="HB12" s="27" t="n"/>
      <c r="HC12" s="27" t="n"/>
      <c r="HD12" s="27" t="n"/>
      <c r="HE12" s="27" t="n"/>
      <c r="HF12" s="27" t="n"/>
      <c r="HG12" s="27" t="n"/>
      <c r="HH12" s="27" t="n"/>
      <c r="HI12" s="27" t="n"/>
      <c r="HJ12" s="27" t="n"/>
      <c r="HK12" s="27" t="n"/>
      <c r="HL12" s="27" t="n"/>
      <c r="HM12" s="27" t="n"/>
      <c r="HN12" s="27" t="n"/>
      <c r="HO12" s="27" t="n"/>
      <c r="HP12" s="27" t="n"/>
      <c r="HQ12" s="27" t="n"/>
      <c r="HR12" s="27" t="n"/>
      <c r="HS12" s="27" t="n"/>
      <c r="HT12" s="27" t="n"/>
      <c r="HU12" s="27" t="n"/>
      <c r="HV12" s="27" t="n"/>
      <c r="HW12" s="27" t="n"/>
      <c r="HX12" s="27" t="n"/>
      <c r="HY12" s="27" t="n"/>
      <c r="HZ12" s="27" t="n"/>
      <c r="IA12" s="27" t="n"/>
      <c r="IB12" s="27" t="n"/>
      <c r="IC12" s="27" t="n"/>
      <c r="ID12" s="27" t="n"/>
      <c r="IE12" s="27" t="n"/>
      <c r="IF12" s="27" t="n"/>
      <c r="IG12" s="27" t="n"/>
      <c r="IH12" s="27" t="n"/>
      <c r="II12" s="27" t="n"/>
      <c r="IJ12" s="27" t="n"/>
      <c r="IK12" s="27" t="n"/>
      <c r="IL12" s="27" t="n"/>
      <c r="IM12" s="27" t="n"/>
      <c r="IN12" s="27" t="n"/>
      <c r="IO12" s="27" t="n"/>
      <c r="IP12" s="27" t="n"/>
      <c r="IQ12" s="27" t="n"/>
      <c r="IR12" s="27" t="n"/>
      <c r="IS12" s="27" t="n"/>
      <c r="IT12" s="27" t="n"/>
      <c r="IU12" s="27" t="n"/>
      <c r="IV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  <c r="AA13" s="27" t="n"/>
      <c r="AB13" s="27" t="n"/>
      <c r="AC13" s="27" t="n"/>
      <c r="AD13" s="27" t="n"/>
      <c r="AE13" s="27" t="n"/>
      <c r="AF13" s="27" t="n"/>
      <c r="AG13" s="27" t="n"/>
      <c r="AH13" s="27" t="n"/>
      <c r="AI13" s="27" t="n"/>
      <c r="AJ13" s="27" t="n"/>
      <c r="AK13" s="27" t="n"/>
      <c r="AL13" s="27" t="n"/>
      <c r="AM13" s="27" t="n"/>
      <c r="AN13" s="27" t="n"/>
      <c r="AO13" s="27" t="n"/>
      <c r="AP13" s="27" t="n"/>
      <c r="AQ13" s="27" t="n"/>
      <c r="AR13" s="27" t="n"/>
      <c r="AS13" s="27" t="n"/>
      <c r="AT13" s="27" t="n"/>
      <c r="AU13" s="27" t="n"/>
      <c r="AV13" s="27" t="n"/>
      <c r="AW13" s="27" t="n"/>
      <c r="AX13" s="27" t="n"/>
      <c r="AY13" s="27" t="n"/>
      <c r="AZ13" s="27" t="n"/>
      <c r="BA13" s="27" t="n"/>
      <c r="BB13" s="27" t="n"/>
      <c r="BC13" s="27" t="n"/>
      <c r="BD13" s="27" t="n"/>
      <c r="BE13" s="27" t="n"/>
      <c r="BF13" s="27" t="n"/>
      <c r="BG13" s="27" t="n"/>
      <c r="BH13" s="27" t="n"/>
      <c r="BI13" s="27" t="n"/>
      <c r="BJ13" s="27" t="n"/>
      <c r="BK13" s="27" t="n"/>
      <c r="BL13" s="27" t="n"/>
      <c r="BM13" s="27" t="n"/>
      <c r="BN13" s="27" t="n"/>
      <c r="BO13" s="27" t="n"/>
      <c r="BP13" s="27" t="n"/>
      <c r="BQ13" s="27" t="n"/>
      <c r="BR13" s="27" t="n"/>
      <c r="BS13" s="27" t="n"/>
      <c r="BT13" s="27" t="n"/>
      <c r="BU13" s="27" t="n"/>
      <c r="BV13" s="27" t="n"/>
      <c r="BW13" s="27" t="n"/>
      <c r="BX13" s="27" t="n"/>
      <c r="BY13" s="27" t="n"/>
      <c r="BZ13" s="27" t="n"/>
      <c r="CA13" s="27" t="n"/>
      <c r="CB13" s="27" t="n"/>
      <c r="CC13" s="27" t="n"/>
      <c r="CD13" s="27" t="n"/>
      <c r="CE13" s="27" t="n"/>
      <c r="CF13" s="27" t="n"/>
      <c r="CG13" s="27" t="n"/>
      <c r="CH13" s="27" t="n"/>
      <c r="CI13" s="27" t="n"/>
      <c r="CJ13" s="27" t="n"/>
      <c r="CK13" s="27" t="n"/>
      <c r="CL13" s="27" t="n"/>
      <c r="CM13" s="27" t="n"/>
      <c r="CN13" s="27" t="n"/>
      <c r="CO13" s="27" t="n"/>
      <c r="CP13" s="27" t="n"/>
      <c r="CQ13" s="27" t="n"/>
      <c r="CR13" s="27" t="n"/>
      <c r="CS13" s="27" t="n"/>
      <c r="CT13" s="27" t="n"/>
      <c r="CU13" s="27" t="n"/>
      <c r="CV13" s="27" t="n"/>
      <c r="CW13" s="27" t="n"/>
      <c r="CX13" s="27" t="n"/>
      <c r="CY13" s="27" t="n"/>
      <c r="CZ13" s="27" t="n"/>
      <c r="DA13" s="27" t="n"/>
      <c r="DB13" s="27" t="n"/>
      <c r="DC13" s="27" t="n"/>
      <c r="DD13" s="27" t="n"/>
      <c r="DE13" s="27" t="n"/>
      <c r="DF13" s="27" t="n"/>
      <c r="DG13" s="27" t="n"/>
      <c r="DH13" s="27" t="n"/>
      <c r="DI13" s="27" t="n"/>
      <c r="DJ13" s="27" t="n"/>
      <c r="DK13" s="27" t="n"/>
      <c r="DL13" s="27" t="n"/>
      <c r="DM13" s="27" t="n"/>
      <c r="DN13" s="27" t="n"/>
      <c r="DO13" s="27" t="n"/>
      <c r="DP13" s="27" t="n"/>
      <c r="DQ13" s="27" t="n"/>
      <c r="DR13" s="27" t="n"/>
      <c r="DS13" s="27" t="n"/>
      <c r="DT13" s="27" t="n"/>
      <c r="DU13" s="27" t="n"/>
      <c r="DV13" s="27" t="n"/>
      <c r="DW13" s="27" t="n"/>
      <c r="DX13" s="27" t="n"/>
      <c r="DY13" s="27" t="n"/>
      <c r="DZ13" s="27" t="n"/>
      <c r="EA13" s="27" t="n"/>
      <c r="EB13" s="27" t="n"/>
      <c r="EC13" s="27" t="n"/>
      <c r="ED13" s="27" t="n"/>
      <c r="EE13" s="27" t="n"/>
      <c r="EF13" s="27" t="n"/>
      <c r="EG13" s="27" t="n"/>
      <c r="EH13" s="27" t="n"/>
      <c r="EI13" s="27" t="n"/>
      <c r="EJ13" s="27" t="n"/>
      <c r="EK13" s="27" t="n"/>
      <c r="EL13" s="27" t="n"/>
      <c r="EM13" s="27" t="n"/>
      <c r="EN13" s="27" t="n"/>
      <c r="EO13" s="27" t="n"/>
      <c r="EP13" s="27" t="n"/>
      <c r="EQ13" s="27" t="n"/>
      <c r="ER13" s="27" t="n"/>
      <c r="ES13" s="27" t="n"/>
      <c r="ET13" s="27" t="n"/>
      <c r="EU13" s="27" t="n"/>
      <c r="EV13" s="27" t="n"/>
      <c r="EW13" s="27" t="n"/>
      <c r="EX13" s="27" t="n"/>
      <c r="EY13" s="27" t="n"/>
      <c r="EZ13" s="27" t="n"/>
      <c r="FA13" s="27" t="n"/>
      <c r="FB13" s="27" t="n"/>
      <c r="FC13" s="27" t="n"/>
      <c r="FD13" s="27" t="n"/>
      <c r="FE13" s="27" t="n"/>
      <c r="FF13" s="27" t="n"/>
      <c r="FG13" s="27" t="n"/>
      <c r="FH13" s="27" t="n"/>
      <c r="FI13" s="27" t="n"/>
      <c r="FJ13" s="27" t="n"/>
      <c r="FK13" s="27" t="n"/>
      <c r="FL13" s="27" t="n"/>
      <c r="FM13" s="27" t="n"/>
      <c r="FN13" s="27" t="n"/>
      <c r="FO13" s="27" t="n"/>
      <c r="FP13" s="27" t="n"/>
      <c r="FQ13" s="27" t="n"/>
      <c r="FR13" s="27" t="n"/>
      <c r="FS13" s="27" t="n"/>
      <c r="FT13" s="27" t="n"/>
      <c r="FU13" s="27" t="n"/>
      <c r="FV13" s="27" t="n"/>
      <c r="FW13" s="27" t="n"/>
      <c r="FX13" s="27" t="n"/>
      <c r="FY13" s="27" t="n"/>
      <c r="FZ13" s="27" t="n"/>
      <c r="GA13" s="27" t="n"/>
      <c r="GB13" s="27" t="n"/>
      <c r="GC13" s="27" t="n"/>
      <c r="GD13" s="27" t="n"/>
      <c r="GE13" s="27" t="n"/>
      <c r="GF13" s="27" t="n"/>
      <c r="GG13" s="27" t="n"/>
      <c r="GH13" s="27" t="n"/>
      <c r="GI13" s="27" t="n"/>
      <c r="GJ13" s="27" t="n"/>
      <c r="GK13" s="27" t="n"/>
      <c r="GL13" s="27" t="n"/>
      <c r="GM13" s="27" t="n"/>
      <c r="GN13" s="27" t="n"/>
      <c r="GO13" s="27" t="n"/>
      <c r="GP13" s="27" t="n"/>
      <c r="GQ13" s="27" t="n"/>
      <c r="GR13" s="27" t="n"/>
      <c r="GS13" s="27" t="n"/>
      <c r="GT13" s="27" t="n"/>
      <c r="GU13" s="27" t="n"/>
      <c r="GV13" s="27" t="n"/>
      <c r="GW13" s="27" t="n"/>
      <c r="GX13" s="27" t="n"/>
      <c r="GY13" s="27" t="n"/>
      <c r="GZ13" s="27" t="n"/>
      <c r="HA13" s="27" t="n"/>
      <c r="HB13" s="27" t="n"/>
      <c r="HC13" s="27" t="n"/>
      <c r="HD13" s="27" t="n"/>
      <c r="HE13" s="27" t="n"/>
      <c r="HF13" s="27" t="n"/>
      <c r="HG13" s="27" t="n"/>
      <c r="HH13" s="27" t="n"/>
      <c r="HI13" s="27" t="n"/>
      <c r="HJ13" s="27" t="n"/>
      <c r="HK13" s="27" t="n"/>
      <c r="HL13" s="27" t="n"/>
      <c r="HM13" s="27" t="n"/>
      <c r="HN13" s="27" t="n"/>
      <c r="HO13" s="27" t="n"/>
      <c r="HP13" s="27" t="n"/>
      <c r="HQ13" s="27" t="n"/>
      <c r="HR13" s="27" t="n"/>
      <c r="HS13" s="27" t="n"/>
      <c r="HT13" s="27" t="n"/>
      <c r="HU13" s="27" t="n"/>
      <c r="HV13" s="27" t="n"/>
      <c r="HW13" s="27" t="n"/>
      <c r="HX13" s="27" t="n"/>
      <c r="HY13" s="27" t="n"/>
      <c r="HZ13" s="27" t="n"/>
      <c r="IA13" s="27" t="n"/>
      <c r="IB13" s="27" t="n"/>
      <c r="IC13" s="27" t="n"/>
      <c r="ID13" s="27" t="n"/>
      <c r="IE13" s="27" t="n"/>
      <c r="IF13" s="27" t="n"/>
      <c r="IG13" s="27" t="n"/>
      <c r="IH13" s="27" t="n"/>
      <c r="II13" s="27" t="n"/>
      <c r="IJ13" s="27" t="n"/>
      <c r="IK13" s="27" t="n"/>
      <c r="IL13" s="27" t="n"/>
      <c r="IM13" s="27" t="n"/>
      <c r="IN13" s="27" t="n"/>
      <c r="IO13" s="27" t="n"/>
      <c r="IP13" s="27" t="n"/>
      <c r="IQ13" s="27" t="n"/>
      <c r="IR13" s="27" t="n"/>
      <c r="IS13" s="27" t="n"/>
      <c r="IT13" s="27" t="n"/>
      <c r="IU13" s="27" t="n"/>
      <c r="IV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  <c r="AA14" s="27" t="n"/>
      <c r="AB14" s="27" t="n"/>
      <c r="AC14" s="27" t="n"/>
      <c r="AD14" s="27" t="n"/>
      <c r="AE14" s="27" t="n"/>
      <c r="AF14" s="27" t="n"/>
      <c r="AG14" s="27" t="n"/>
      <c r="AH14" s="27" t="n"/>
      <c r="AI14" s="27" t="n"/>
      <c r="AJ14" s="27" t="n"/>
      <c r="AK14" s="27" t="n"/>
      <c r="AL14" s="27" t="n"/>
      <c r="AM14" s="27" t="n"/>
      <c r="AN14" s="27" t="n"/>
      <c r="AO14" s="27" t="n"/>
      <c r="AP14" s="27" t="n"/>
      <c r="AQ14" s="27" t="n"/>
      <c r="AR14" s="27" t="n"/>
      <c r="AS14" s="27" t="n"/>
      <c r="AT14" s="27" t="n"/>
      <c r="AU14" s="27" t="n"/>
      <c r="AV14" s="27" t="n"/>
      <c r="AW14" s="27" t="n"/>
      <c r="AX14" s="27" t="n"/>
      <c r="AY14" s="27" t="n"/>
      <c r="AZ14" s="27" t="n"/>
      <c r="BA14" s="27" t="n"/>
      <c r="BB14" s="27" t="n"/>
      <c r="BC14" s="27" t="n"/>
      <c r="BD14" s="27" t="n"/>
      <c r="BE14" s="27" t="n"/>
      <c r="BF14" s="27" t="n"/>
      <c r="BG14" s="27" t="n"/>
      <c r="BH14" s="27" t="n"/>
      <c r="BI14" s="27" t="n"/>
      <c r="BJ14" s="27" t="n"/>
      <c r="BK14" s="27" t="n"/>
      <c r="BL14" s="27" t="n"/>
      <c r="BM14" s="27" t="n"/>
      <c r="BN14" s="27" t="n"/>
      <c r="BO14" s="27" t="n"/>
      <c r="BP14" s="27" t="n"/>
      <c r="BQ14" s="27" t="n"/>
      <c r="BR14" s="27" t="n"/>
      <c r="BS14" s="27" t="n"/>
      <c r="BT14" s="27" t="n"/>
      <c r="BU14" s="27" t="n"/>
      <c r="BV14" s="27" t="n"/>
      <c r="BW14" s="27" t="n"/>
      <c r="BX14" s="27" t="n"/>
      <c r="BY14" s="27" t="n"/>
      <c r="BZ14" s="27" t="n"/>
      <c r="CA14" s="27" t="n"/>
      <c r="CB14" s="27" t="n"/>
      <c r="CC14" s="27" t="n"/>
      <c r="CD14" s="27" t="n"/>
      <c r="CE14" s="27" t="n"/>
      <c r="CF14" s="27" t="n"/>
      <c r="CG14" s="27" t="n"/>
      <c r="CH14" s="27" t="n"/>
      <c r="CI14" s="27" t="n"/>
      <c r="CJ14" s="27" t="n"/>
      <c r="CK14" s="27" t="n"/>
      <c r="CL14" s="27" t="n"/>
      <c r="CM14" s="27" t="n"/>
      <c r="CN14" s="27" t="n"/>
      <c r="CO14" s="27" t="n"/>
      <c r="CP14" s="27" t="n"/>
      <c r="CQ14" s="27" t="n"/>
      <c r="CR14" s="27" t="n"/>
      <c r="CS14" s="27" t="n"/>
      <c r="CT14" s="27" t="n"/>
      <c r="CU14" s="27" t="n"/>
      <c r="CV14" s="27" t="n"/>
      <c r="CW14" s="27" t="n"/>
      <c r="CX14" s="27" t="n"/>
      <c r="CY14" s="27" t="n"/>
      <c r="CZ14" s="27" t="n"/>
      <c r="DA14" s="27" t="n"/>
      <c r="DB14" s="27" t="n"/>
      <c r="DC14" s="27" t="n"/>
      <c r="DD14" s="27" t="n"/>
      <c r="DE14" s="27" t="n"/>
      <c r="DF14" s="27" t="n"/>
      <c r="DG14" s="27" t="n"/>
      <c r="DH14" s="27" t="n"/>
      <c r="DI14" s="27" t="n"/>
      <c r="DJ14" s="27" t="n"/>
      <c r="DK14" s="27" t="n"/>
      <c r="DL14" s="27" t="n"/>
      <c r="DM14" s="27" t="n"/>
      <c r="DN14" s="27" t="n"/>
      <c r="DO14" s="27" t="n"/>
      <c r="DP14" s="27" t="n"/>
      <c r="DQ14" s="27" t="n"/>
      <c r="DR14" s="27" t="n"/>
      <c r="DS14" s="27" t="n"/>
      <c r="DT14" s="27" t="n"/>
      <c r="DU14" s="27" t="n"/>
      <c r="DV14" s="27" t="n"/>
      <c r="DW14" s="27" t="n"/>
      <c r="DX14" s="27" t="n"/>
      <c r="DY14" s="27" t="n"/>
      <c r="DZ14" s="27" t="n"/>
      <c r="EA14" s="27" t="n"/>
      <c r="EB14" s="27" t="n"/>
      <c r="EC14" s="27" t="n"/>
      <c r="ED14" s="27" t="n"/>
      <c r="EE14" s="27" t="n"/>
      <c r="EF14" s="27" t="n"/>
      <c r="EG14" s="27" t="n"/>
      <c r="EH14" s="27" t="n"/>
      <c r="EI14" s="27" t="n"/>
      <c r="EJ14" s="27" t="n"/>
      <c r="EK14" s="27" t="n"/>
      <c r="EL14" s="27" t="n"/>
      <c r="EM14" s="27" t="n"/>
      <c r="EN14" s="27" t="n"/>
      <c r="EO14" s="27" t="n"/>
      <c r="EP14" s="27" t="n"/>
      <c r="EQ14" s="27" t="n"/>
      <c r="ER14" s="27" t="n"/>
      <c r="ES14" s="27" t="n"/>
      <c r="ET14" s="27" t="n"/>
      <c r="EU14" s="27" t="n"/>
      <c r="EV14" s="27" t="n"/>
      <c r="EW14" s="27" t="n"/>
      <c r="EX14" s="27" t="n"/>
      <c r="EY14" s="27" t="n"/>
      <c r="EZ14" s="27" t="n"/>
      <c r="FA14" s="27" t="n"/>
      <c r="FB14" s="27" t="n"/>
      <c r="FC14" s="27" t="n"/>
      <c r="FD14" s="27" t="n"/>
      <c r="FE14" s="27" t="n"/>
      <c r="FF14" s="27" t="n"/>
      <c r="FG14" s="27" t="n"/>
      <c r="FH14" s="27" t="n"/>
      <c r="FI14" s="27" t="n"/>
      <c r="FJ14" s="27" t="n"/>
      <c r="FK14" s="27" t="n"/>
      <c r="FL14" s="27" t="n"/>
      <c r="FM14" s="27" t="n"/>
      <c r="FN14" s="27" t="n"/>
      <c r="FO14" s="27" t="n"/>
      <c r="FP14" s="27" t="n"/>
      <c r="FQ14" s="27" t="n"/>
      <c r="FR14" s="27" t="n"/>
      <c r="FS14" s="27" t="n"/>
      <c r="FT14" s="27" t="n"/>
      <c r="FU14" s="27" t="n"/>
      <c r="FV14" s="27" t="n"/>
      <c r="FW14" s="27" t="n"/>
      <c r="FX14" s="27" t="n"/>
      <c r="FY14" s="27" t="n"/>
      <c r="FZ14" s="27" t="n"/>
      <c r="GA14" s="27" t="n"/>
      <c r="GB14" s="27" t="n"/>
      <c r="GC14" s="27" t="n"/>
      <c r="GD14" s="27" t="n"/>
      <c r="GE14" s="27" t="n"/>
      <c r="GF14" s="27" t="n"/>
      <c r="GG14" s="27" t="n"/>
      <c r="GH14" s="27" t="n"/>
      <c r="GI14" s="27" t="n"/>
      <c r="GJ14" s="27" t="n"/>
      <c r="GK14" s="27" t="n"/>
      <c r="GL14" s="27" t="n"/>
      <c r="GM14" s="27" t="n"/>
      <c r="GN14" s="27" t="n"/>
      <c r="GO14" s="27" t="n"/>
      <c r="GP14" s="27" t="n"/>
      <c r="GQ14" s="27" t="n"/>
      <c r="GR14" s="27" t="n"/>
      <c r="GS14" s="27" t="n"/>
      <c r="GT14" s="27" t="n"/>
      <c r="GU14" s="27" t="n"/>
      <c r="GV14" s="27" t="n"/>
      <c r="GW14" s="27" t="n"/>
      <c r="GX14" s="27" t="n"/>
      <c r="GY14" s="27" t="n"/>
      <c r="GZ14" s="27" t="n"/>
      <c r="HA14" s="27" t="n"/>
      <c r="HB14" s="27" t="n"/>
      <c r="HC14" s="27" t="n"/>
      <c r="HD14" s="27" t="n"/>
      <c r="HE14" s="27" t="n"/>
      <c r="HF14" s="27" t="n"/>
      <c r="HG14" s="27" t="n"/>
      <c r="HH14" s="27" t="n"/>
      <c r="HI14" s="27" t="n"/>
      <c r="HJ14" s="27" t="n"/>
      <c r="HK14" s="27" t="n"/>
      <c r="HL14" s="27" t="n"/>
      <c r="HM14" s="27" t="n"/>
      <c r="HN14" s="27" t="n"/>
      <c r="HO14" s="27" t="n"/>
      <c r="HP14" s="27" t="n"/>
      <c r="HQ14" s="27" t="n"/>
      <c r="HR14" s="27" t="n"/>
      <c r="HS14" s="27" t="n"/>
      <c r="HT14" s="27" t="n"/>
      <c r="HU14" s="27" t="n"/>
      <c r="HV14" s="27" t="n"/>
      <c r="HW14" s="27" t="n"/>
      <c r="HX14" s="27" t="n"/>
      <c r="HY14" s="27" t="n"/>
      <c r="HZ14" s="27" t="n"/>
      <c r="IA14" s="27" t="n"/>
      <c r="IB14" s="27" t="n"/>
      <c r="IC14" s="27" t="n"/>
      <c r="ID14" s="27" t="n"/>
      <c r="IE14" s="27" t="n"/>
      <c r="IF14" s="27" t="n"/>
      <c r="IG14" s="27" t="n"/>
      <c r="IH14" s="27" t="n"/>
      <c r="II14" s="27" t="n"/>
      <c r="IJ14" s="27" t="n"/>
      <c r="IK14" s="27" t="n"/>
      <c r="IL14" s="27" t="n"/>
      <c r="IM14" s="27" t="n"/>
      <c r="IN14" s="27" t="n"/>
      <c r="IO14" s="27" t="n"/>
      <c r="IP14" s="27" t="n"/>
      <c r="IQ14" s="27" t="n"/>
      <c r="IR14" s="27" t="n"/>
      <c r="IS14" s="27" t="n"/>
      <c r="IT14" s="27" t="n"/>
      <c r="IU14" s="27" t="n"/>
      <c r="IV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  <c r="AA15" s="27" t="n"/>
      <c r="AB15" s="27" t="n"/>
      <c r="AC15" s="27" t="n"/>
      <c r="AD15" s="27" t="n"/>
      <c r="AE15" s="27" t="n"/>
      <c r="AF15" s="27" t="n"/>
      <c r="AG15" s="27" t="n"/>
      <c r="AH15" s="27" t="n"/>
      <c r="AI15" s="27" t="n"/>
      <c r="AJ15" s="27" t="n"/>
      <c r="AK15" s="27" t="n"/>
      <c r="AL15" s="27" t="n"/>
      <c r="AM15" s="27" t="n"/>
      <c r="AN15" s="27" t="n"/>
      <c r="AO15" s="27" t="n"/>
      <c r="AP15" s="27" t="n"/>
      <c r="AQ15" s="27" t="n"/>
      <c r="AR15" s="27" t="n"/>
      <c r="AS15" s="27" t="n"/>
      <c r="AT15" s="27" t="n"/>
      <c r="AU15" s="27" t="n"/>
      <c r="AV15" s="27" t="n"/>
      <c r="AW15" s="27" t="n"/>
      <c r="AX15" s="27" t="n"/>
      <c r="AY15" s="27" t="n"/>
      <c r="AZ15" s="27" t="n"/>
      <c r="BA15" s="27" t="n"/>
      <c r="BB15" s="27" t="n"/>
      <c r="BC15" s="27" t="n"/>
      <c r="BD15" s="27" t="n"/>
      <c r="BE15" s="27" t="n"/>
      <c r="BF15" s="27" t="n"/>
      <c r="BG15" s="27" t="n"/>
      <c r="BH15" s="27" t="n"/>
      <c r="BI15" s="27" t="n"/>
      <c r="BJ15" s="27" t="n"/>
      <c r="BK15" s="27" t="n"/>
      <c r="BL15" s="27" t="n"/>
      <c r="BM15" s="27" t="n"/>
      <c r="BN15" s="27" t="n"/>
      <c r="BO15" s="27" t="n"/>
      <c r="BP15" s="27" t="n"/>
      <c r="BQ15" s="27" t="n"/>
      <c r="BR15" s="27" t="n"/>
      <c r="BS15" s="27" t="n"/>
      <c r="BT15" s="27" t="n"/>
      <c r="BU15" s="27" t="n"/>
      <c r="BV15" s="27" t="n"/>
      <c r="BW15" s="27" t="n"/>
      <c r="BX15" s="27" t="n"/>
      <c r="BY15" s="27" t="n"/>
      <c r="BZ15" s="27" t="n"/>
      <c r="CA15" s="27" t="n"/>
      <c r="CB15" s="27" t="n"/>
      <c r="CC15" s="27" t="n"/>
      <c r="CD15" s="27" t="n"/>
      <c r="CE15" s="27" t="n"/>
      <c r="CF15" s="27" t="n"/>
      <c r="CG15" s="27" t="n"/>
      <c r="CH15" s="27" t="n"/>
      <c r="CI15" s="27" t="n"/>
      <c r="CJ15" s="27" t="n"/>
      <c r="CK15" s="27" t="n"/>
      <c r="CL15" s="27" t="n"/>
      <c r="CM15" s="27" t="n"/>
      <c r="CN15" s="27" t="n"/>
      <c r="CO15" s="27" t="n"/>
      <c r="CP15" s="27" t="n"/>
      <c r="CQ15" s="27" t="n"/>
      <c r="CR15" s="27" t="n"/>
      <c r="CS15" s="27" t="n"/>
      <c r="CT15" s="27" t="n"/>
      <c r="CU15" s="27" t="n"/>
      <c r="CV15" s="27" t="n"/>
      <c r="CW15" s="27" t="n"/>
      <c r="CX15" s="27" t="n"/>
      <c r="CY15" s="27" t="n"/>
      <c r="CZ15" s="27" t="n"/>
      <c r="DA15" s="27" t="n"/>
      <c r="DB15" s="27" t="n"/>
      <c r="DC15" s="27" t="n"/>
      <c r="DD15" s="27" t="n"/>
      <c r="DE15" s="27" t="n"/>
      <c r="DF15" s="27" t="n"/>
      <c r="DG15" s="27" t="n"/>
      <c r="DH15" s="27" t="n"/>
      <c r="DI15" s="27" t="n"/>
      <c r="DJ15" s="27" t="n"/>
      <c r="DK15" s="27" t="n"/>
      <c r="DL15" s="27" t="n"/>
      <c r="DM15" s="27" t="n"/>
      <c r="DN15" s="27" t="n"/>
      <c r="DO15" s="27" t="n"/>
      <c r="DP15" s="27" t="n"/>
      <c r="DQ15" s="27" t="n"/>
      <c r="DR15" s="27" t="n"/>
      <c r="DS15" s="27" t="n"/>
      <c r="DT15" s="27" t="n"/>
      <c r="DU15" s="27" t="n"/>
      <c r="DV15" s="27" t="n"/>
      <c r="DW15" s="27" t="n"/>
      <c r="DX15" s="27" t="n"/>
      <c r="DY15" s="27" t="n"/>
      <c r="DZ15" s="27" t="n"/>
      <c r="EA15" s="27" t="n"/>
      <c r="EB15" s="27" t="n"/>
      <c r="EC15" s="27" t="n"/>
      <c r="ED15" s="27" t="n"/>
      <c r="EE15" s="27" t="n"/>
      <c r="EF15" s="27" t="n"/>
      <c r="EG15" s="27" t="n"/>
      <c r="EH15" s="27" t="n"/>
      <c r="EI15" s="27" t="n"/>
      <c r="EJ15" s="27" t="n"/>
      <c r="EK15" s="27" t="n"/>
      <c r="EL15" s="27" t="n"/>
      <c r="EM15" s="27" t="n"/>
      <c r="EN15" s="27" t="n"/>
      <c r="EO15" s="27" t="n"/>
      <c r="EP15" s="27" t="n"/>
      <c r="EQ15" s="27" t="n"/>
      <c r="ER15" s="27" t="n"/>
      <c r="ES15" s="27" t="n"/>
      <c r="ET15" s="27" t="n"/>
      <c r="EU15" s="27" t="n"/>
      <c r="EV15" s="27" t="n"/>
      <c r="EW15" s="27" t="n"/>
      <c r="EX15" s="27" t="n"/>
      <c r="EY15" s="27" t="n"/>
      <c r="EZ15" s="27" t="n"/>
      <c r="FA15" s="27" t="n"/>
      <c r="FB15" s="27" t="n"/>
      <c r="FC15" s="27" t="n"/>
      <c r="FD15" s="27" t="n"/>
      <c r="FE15" s="27" t="n"/>
      <c r="FF15" s="27" t="n"/>
      <c r="FG15" s="27" t="n"/>
      <c r="FH15" s="27" t="n"/>
      <c r="FI15" s="27" t="n"/>
      <c r="FJ15" s="27" t="n"/>
      <c r="FK15" s="27" t="n"/>
      <c r="FL15" s="27" t="n"/>
      <c r="FM15" s="27" t="n"/>
      <c r="FN15" s="27" t="n"/>
      <c r="FO15" s="27" t="n"/>
      <c r="FP15" s="27" t="n"/>
      <c r="FQ15" s="27" t="n"/>
      <c r="FR15" s="27" t="n"/>
      <c r="FS15" s="27" t="n"/>
      <c r="FT15" s="27" t="n"/>
      <c r="FU15" s="27" t="n"/>
      <c r="FV15" s="27" t="n"/>
      <c r="FW15" s="27" t="n"/>
      <c r="FX15" s="27" t="n"/>
      <c r="FY15" s="27" t="n"/>
      <c r="FZ15" s="27" t="n"/>
      <c r="GA15" s="27" t="n"/>
      <c r="GB15" s="27" t="n"/>
      <c r="GC15" s="27" t="n"/>
      <c r="GD15" s="27" t="n"/>
      <c r="GE15" s="27" t="n"/>
      <c r="GF15" s="27" t="n"/>
      <c r="GG15" s="27" t="n"/>
      <c r="GH15" s="27" t="n"/>
      <c r="GI15" s="27" t="n"/>
      <c r="GJ15" s="27" t="n"/>
      <c r="GK15" s="27" t="n"/>
      <c r="GL15" s="27" t="n"/>
      <c r="GM15" s="27" t="n"/>
      <c r="GN15" s="27" t="n"/>
      <c r="GO15" s="27" t="n"/>
      <c r="GP15" s="27" t="n"/>
      <c r="GQ15" s="27" t="n"/>
      <c r="GR15" s="27" t="n"/>
      <c r="GS15" s="27" t="n"/>
      <c r="GT15" s="27" t="n"/>
      <c r="GU15" s="27" t="n"/>
      <c r="GV15" s="27" t="n"/>
      <c r="GW15" s="27" t="n"/>
      <c r="GX15" s="27" t="n"/>
      <c r="GY15" s="27" t="n"/>
      <c r="GZ15" s="27" t="n"/>
      <c r="HA15" s="27" t="n"/>
      <c r="HB15" s="27" t="n"/>
      <c r="HC15" s="27" t="n"/>
      <c r="HD15" s="27" t="n"/>
      <c r="HE15" s="27" t="n"/>
      <c r="HF15" s="27" t="n"/>
      <c r="HG15" s="27" t="n"/>
      <c r="HH15" s="27" t="n"/>
      <c r="HI15" s="27" t="n"/>
      <c r="HJ15" s="27" t="n"/>
      <c r="HK15" s="27" t="n"/>
      <c r="HL15" s="27" t="n"/>
      <c r="HM15" s="27" t="n"/>
      <c r="HN15" s="27" t="n"/>
      <c r="HO15" s="27" t="n"/>
      <c r="HP15" s="27" t="n"/>
      <c r="HQ15" s="27" t="n"/>
      <c r="HR15" s="27" t="n"/>
      <c r="HS15" s="27" t="n"/>
      <c r="HT15" s="27" t="n"/>
      <c r="HU15" s="27" t="n"/>
      <c r="HV15" s="27" t="n"/>
      <c r="HW15" s="27" t="n"/>
      <c r="HX15" s="27" t="n"/>
      <c r="HY15" s="27" t="n"/>
      <c r="HZ15" s="27" t="n"/>
      <c r="IA15" s="27" t="n"/>
      <c r="IB15" s="27" t="n"/>
      <c r="IC15" s="27" t="n"/>
      <c r="ID15" s="27" t="n"/>
      <c r="IE15" s="27" t="n"/>
      <c r="IF15" s="27" t="n"/>
      <c r="IG15" s="27" t="n"/>
      <c r="IH15" s="27" t="n"/>
      <c r="II15" s="27" t="n"/>
      <c r="IJ15" s="27" t="n"/>
      <c r="IK15" s="27" t="n"/>
      <c r="IL15" s="27" t="n"/>
      <c r="IM15" s="27" t="n"/>
      <c r="IN15" s="27" t="n"/>
      <c r="IO15" s="27" t="n"/>
      <c r="IP15" s="27" t="n"/>
      <c r="IQ15" s="27" t="n"/>
      <c r="IR15" s="27" t="n"/>
      <c r="IS15" s="27" t="n"/>
      <c r="IT15" s="27" t="n"/>
      <c r="IU15" s="27" t="n"/>
      <c r="IV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  <c r="AA16" s="27" t="n"/>
      <c r="AB16" s="27" t="n"/>
      <c r="AC16" s="27" t="n"/>
      <c r="AD16" s="27" t="n"/>
      <c r="AE16" s="27" t="n"/>
      <c r="AF16" s="27" t="n"/>
      <c r="AG16" s="27" t="n"/>
      <c r="AH16" s="27" t="n"/>
      <c r="AI16" s="27" t="n"/>
      <c r="AJ16" s="27" t="n"/>
      <c r="AK16" s="27" t="n"/>
      <c r="AL16" s="27" t="n"/>
      <c r="AM16" s="27" t="n"/>
      <c r="AN16" s="27" t="n"/>
      <c r="AO16" s="27" t="n"/>
      <c r="AP16" s="27" t="n"/>
      <c r="AQ16" s="27" t="n"/>
      <c r="AR16" s="27" t="n"/>
      <c r="AS16" s="27" t="n"/>
      <c r="AT16" s="27" t="n"/>
      <c r="AU16" s="27" t="n"/>
      <c r="AV16" s="27" t="n"/>
      <c r="AW16" s="27" t="n"/>
      <c r="AX16" s="27" t="n"/>
      <c r="AY16" s="27" t="n"/>
      <c r="AZ16" s="27" t="n"/>
      <c r="BA16" s="27" t="n"/>
      <c r="BB16" s="27" t="n"/>
      <c r="BC16" s="27" t="n"/>
      <c r="BD16" s="27" t="n"/>
      <c r="BE16" s="27" t="n"/>
      <c r="BF16" s="27" t="n"/>
      <c r="BG16" s="27" t="n"/>
      <c r="BH16" s="27" t="n"/>
      <c r="BI16" s="27" t="n"/>
      <c r="BJ16" s="27" t="n"/>
      <c r="BK16" s="27" t="n"/>
      <c r="BL16" s="27" t="n"/>
      <c r="BM16" s="27" t="n"/>
      <c r="BN16" s="27" t="n"/>
      <c r="BO16" s="27" t="n"/>
      <c r="BP16" s="27" t="n"/>
      <c r="BQ16" s="27" t="n"/>
      <c r="BR16" s="27" t="n"/>
      <c r="BS16" s="27" t="n"/>
      <c r="BT16" s="27" t="n"/>
      <c r="BU16" s="27" t="n"/>
      <c r="BV16" s="27" t="n"/>
      <c r="BW16" s="27" t="n"/>
      <c r="BX16" s="27" t="n"/>
      <c r="BY16" s="27" t="n"/>
      <c r="BZ16" s="27" t="n"/>
      <c r="CA16" s="27" t="n"/>
      <c r="CB16" s="27" t="n"/>
      <c r="CC16" s="27" t="n"/>
      <c r="CD16" s="27" t="n"/>
      <c r="CE16" s="27" t="n"/>
      <c r="CF16" s="27" t="n"/>
      <c r="CG16" s="27" t="n"/>
      <c r="CH16" s="27" t="n"/>
      <c r="CI16" s="27" t="n"/>
      <c r="CJ16" s="27" t="n"/>
      <c r="CK16" s="27" t="n"/>
      <c r="CL16" s="27" t="n"/>
      <c r="CM16" s="27" t="n"/>
      <c r="CN16" s="27" t="n"/>
      <c r="CO16" s="27" t="n"/>
      <c r="CP16" s="27" t="n"/>
      <c r="CQ16" s="27" t="n"/>
      <c r="CR16" s="27" t="n"/>
      <c r="CS16" s="27" t="n"/>
      <c r="CT16" s="27" t="n"/>
      <c r="CU16" s="27" t="n"/>
      <c r="CV16" s="27" t="n"/>
      <c r="CW16" s="27" t="n"/>
      <c r="CX16" s="27" t="n"/>
      <c r="CY16" s="27" t="n"/>
      <c r="CZ16" s="27" t="n"/>
      <c r="DA16" s="27" t="n"/>
      <c r="DB16" s="27" t="n"/>
      <c r="DC16" s="27" t="n"/>
      <c r="DD16" s="27" t="n"/>
      <c r="DE16" s="27" t="n"/>
      <c r="DF16" s="27" t="n"/>
      <c r="DG16" s="27" t="n"/>
      <c r="DH16" s="27" t="n"/>
      <c r="DI16" s="27" t="n"/>
      <c r="DJ16" s="27" t="n"/>
      <c r="DK16" s="27" t="n"/>
      <c r="DL16" s="27" t="n"/>
      <c r="DM16" s="27" t="n"/>
      <c r="DN16" s="27" t="n"/>
      <c r="DO16" s="27" t="n"/>
      <c r="DP16" s="27" t="n"/>
      <c r="DQ16" s="27" t="n"/>
      <c r="DR16" s="27" t="n"/>
      <c r="DS16" s="27" t="n"/>
      <c r="DT16" s="27" t="n"/>
      <c r="DU16" s="27" t="n"/>
      <c r="DV16" s="27" t="n"/>
      <c r="DW16" s="27" t="n"/>
      <c r="DX16" s="27" t="n"/>
      <c r="DY16" s="27" t="n"/>
      <c r="DZ16" s="27" t="n"/>
      <c r="EA16" s="27" t="n"/>
      <c r="EB16" s="27" t="n"/>
      <c r="EC16" s="27" t="n"/>
      <c r="ED16" s="27" t="n"/>
      <c r="EE16" s="27" t="n"/>
      <c r="EF16" s="27" t="n"/>
      <c r="EG16" s="27" t="n"/>
      <c r="EH16" s="27" t="n"/>
      <c r="EI16" s="27" t="n"/>
      <c r="EJ16" s="27" t="n"/>
      <c r="EK16" s="27" t="n"/>
      <c r="EL16" s="27" t="n"/>
      <c r="EM16" s="27" t="n"/>
      <c r="EN16" s="27" t="n"/>
      <c r="EO16" s="27" t="n"/>
      <c r="EP16" s="27" t="n"/>
      <c r="EQ16" s="27" t="n"/>
      <c r="ER16" s="27" t="n"/>
      <c r="ES16" s="27" t="n"/>
      <c r="ET16" s="27" t="n"/>
      <c r="EU16" s="27" t="n"/>
      <c r="EV16" s="27" t="n"/>
      <c r="EW16" s="27" t="n"/>
      <c r="EX16" s="27" t="n"/>
      <c r="EY16" s="27" t="n"/>
      <c r="EZ16" s="27" t="n"/>
      <c r="FA16" s="27" t="n"/>
      <c r="FB16" s="27" t="n"/>
      <c r="FC16" s="27" t="n"/>
      <c r="FD16" s="27" t="n"/>
      <c r="FE16" s="27" t="n"/>
      <c r="FF16" s="27" t="n"/>
      <c r="FG16" s="27" t="n"/>
      <c r="FH16" s="27" t="n"/>
      <c r="FI16" s="27" t="n"/>
      <c r="FJ16" s="27" t="n"/>
      <c r="FK16" s="27" t="n"/>
      <c r="FL16" s="27" t="n"/>
      <c r="FM16" s="27" t="n"/>
      <c r="FN16" s="27" t="n"/>
      <c r="FO16" s="27" t="n"/>
      <c r="FP16" s="27" t="n"/>
      <c r="FQ16" s="27" t="n"/>
      <c r="FR16" s="27" t="n"/>
      <c r="FS16" s="27" t="n"/>
      <c r="FT16" s="27" t="n"/>
      <c r="FU16" s="27" t="n"/>
      <c r="FV16" s="27" t="n"/>
      <c r="FW16" s="27" t="n"/>
      <c r="FX16" s="27" t="n"/>
      <c r="FY16" s="27" t="n"/>
      <c r="FZ16" s="27" t="n"/>
      <c r="GA16" s="27" t="n"/>
      <c r="GB16" s="27" t="n"/>
      <c r="GC16" s="27" t="n"/>
      <c r="GD16" s="27" t="n"/>
      <c r="GE16" s="27" t="n"/>
      <c r="GF16" s="27" t="n"/>
      <c r="GG16" s="27" t="n"/>
      <c r="GH16" s="27" t="n"/>
      <c r="GI16" s="27" t="n"/>
      <c r="GJ16" s="27" t="n"/>
      <c r="GK16" s="27" t="n"/>
      <c r="GL16" s="27" t="n"/>
      <c r="GM16" s="27" t="n"/>
      <c r="GN16" s="27" t="n"/>
      <c r="GO16" s="27" t="n"/>
      <c r="GP16" s="27" t="n"/>
      <c r="GQ16" s="27" t="n"/>
      <c r="GR16" s="27" t="n"/>
      <c r="GS16" s="27" t="n"/>
      <c r="GT16" s="27" t="n"/>
      <c r="GU16" s="27" t="n"/>
      <c r="GV16" s="27" t="n"/>
      <c r="GW16" s="27" t="n"/>
      <c r="GX16" s="27" t="n"/>
      <c r="GY16" s="27" t="n"/>
      <c r="GZ16" s="27" t="n"/>
      <c r="HA16" s="27" t="n"/>
      <c r="HB16" s="27" t="n"/>
      <c r="HC16" s="27" t="n"/>
      <c r="HD16" s="27" t="n"/>
      <c r="HE16" s="27" t="n"/>
      <c r="HF16" s="27" t="n"/>
      <c r="HG16" s="27" t="n"/>
      <c r="HH16" s="27" t="n"/>
      <c r="HI16" s="27" t="n"/>
      <c r="HJ16" s="27" t="n"/>
      <c r="HK16" s="27" t="n"/>
      <c r="HL16" s="27" t="n"/>
      <c r="HM16" s="27" t="n"/>
      <c r="HN16" s="27" t="n"/>
      <c r="HO16" s="27" t="n"/>
      <c r="HP16" s="27" t="n"/>
      <c r="HQ16" s="27" t="n"/>
      <c r="HR16" s="27" t="n"/>
      <c r="HS16" s="27" t="n"/>
      <c r="HT16" s="27" t="n"/>
      <c r="HU16" s="27" t="n"/>
      <c r="HV16" s="27" t="n"/>
      <c r="HW16" s="27" t="n"/>
      <c r="HX16" s="27" t="n"/>
      <c r="HY16" s="27" t="n"/>
      <c r="HZ16" s="27" t="n"/>
      <c r="IA16" s="27" t="n"/>
      <c r="IB16" s="27" t="n"/>
      <c r="IC16" s="27" t="n"/>
      <c r="ID16" s="27" t="n"/>
      <c r="IE16" s="27" t="n"/>
      <c r="IF16" s="27" t="n"/>
      <c r="IG16" s="27" t="n"/>
      <c r="IH16" s="27" t="n"/>
      <c r="II16" s="27" t="n"/>
      <c r="IJ16" s="27" t="n"/>
      <c r="IK16" s="27" t="n"/>
      <c r="IL16" s="27" t="n"/>
      <c r="IM16" s="27" t="n"/>
      <c r="IN16" s="27" t="n"/>
      <c r="IO16" s="27" t="n"/>
      <c r="IP16" s="27" t="n"/>
      <c r="IQ16" s="27" t="n"/>
      <c r="IR16" s="27" t="n"/>
      <c r="IS16" s="27" t="n"/>
      <c r="IT16" s="27" t="n"/>
      <c r="IU16" s="27" t="n"/>
      <c r="IV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  <c r="AA17" s="27" t="n"/>
      <c r="AB17" s="27" t="n"/>
      <c r="AC17" s="27" t="n"/>
      <c r="AD17" s="27" t="n"/>
      <c r="AE17" s="27" t="n"/>
      <c r="AF17" s="27" t="n"/>
      <c r="AG17" s="27" t="n"/>
      <c r="AH17" s="27" t="n"/>
      <c r="AI17" s="27" t="n"/>
      <c r="AJ17" s="27" t="n"/>
      <c r="AK17" s="27" t="n"/>
      <c r="AL17" s="27" t="n"/>
      <c r="AM17" s="27" t="n"/>
      <c r="AN17" s="27" t="n"/>
      <c r="AO17" s="27" t="n"/>
      <c r="AP17" s="27" t="n"/>
      <c r="AQ17" s="27" t="n"/>
      <c r="AR17" s="27" t="n"/>
      <c r="AS17" s="27" t="n"/>
      <c r="AT17" s="27" t="n"/>
      <c r="AU17" s="27" t="n"/>
      <c r="AV17" s="27" t="n"/>
      <c r="AW17" s="27" t="n"/>
      <c r="AX17" s="27" t="n"/>
      <c r="AY17" s="27" t="n"/>
      <c r="AZ17" s="27" t="n"/>
      <c r="BA17" s="27" t="n"/>
      <c r="BB17" s="27" t="n"/>
      <c r="BC17" s="27" t="n"/>
      <c r="BD17" s="27" t="n"/>
      <c r="BE17" s="27" t="n"/>
      <c r="BF17" s="27" t="n"/>
      <c r="BG17" s="27" t="n"/>
      <c r="BH17" s="27" t="n"/>
      <c r="BI17" s="27" t="n"/>
      <c r="BJ17" s="27" t="n"/>
      <c r="BK17" s="27" t="n"/>
      <c r="BL17" s="27" t="n"/>
      <c r="BM17" s="27" t="n"/>
      <c r="BN17" s="27" t="n"/>
      <c r="BO17" s="27" t="n"/>
      <c r="BP17" s="27" t="n"/>
      <c r="BQ17" s="27" t="n"/>
      <c r="BR17" s="27" t="n"/>
      <c r="BS17" s="27" t="n"/>
      <c r="BT17" s="27" t="n"/>
      <c r="BU17" s="27" t="n"/>
      <c r="BV17" s="27" t="n"/>
      <c r="BW17" s="27" t="n"/>
      <c r="BX17" s="27" t="n"/>
      <c r="BY17" s="27" t="n"/>
      <c r="BZ17" s="27" t="n"/>
      <c r="CA17" s="27" t="n"/>
      <c r="CB17" s="27" t="n"/>
      <c r="CC17" s="27" t="n"/>
      <c r="CD17" s="27" t="n"/>
      <c r="CE17" s="27" t="n"/>
      <c r="CF17" s="27" t="n"/>
      <c r="CG17" s="27" t="n"/>
      <c r="CH17" s="27" t="n"/>
      <c r="CI17" s="27" t="n"/>
      <c r="CJ17" s="27" t="n"/>
      <c r="CK17" s="27" t="n"/>
      <c r="CL17" s="27" t="n"/>
      <c r="CM17" s="27" t="n"/>
      <c r="CN17" s="27" t="n"/>
      <c r="CO17" s="27" t="n"/>
      <c r="CP17" s="27" t="n"/>
      <c r="CQ17" s="27" t="n"/>
      <c r="CR17" s="27" t="n"/>
      <c r="CS17" s="27" t="n"/>
      <c r="CT17" s="27" t="n"/>
      <c r="CU17" s="27" t="n"/>
      <c r="CV17" s="27" t="n"/>
      <c r="CW17" s="27" t="n"/>
      <c r="CX17" s="27" t="n"/>
      <c r="CY17" s="27" t="n"/>
      <c r="CZ17" s="27" t="n"/>
      <c r="DA17" s="27" t="n"/>
      <c r="DB17" s="27" t="n"/>
      <c r="DC17" s="27" t="n"/>
      <c r="DD17" s="27" t="n"/>
      <c r="DE17" s="27" t="n"/>
      <c r="DF17" s="27" t="n"/>
      <c r="DG17" s="27" t="n"/>
      <c r="DH17" s="27" t="n"/>
      <c r="DI17" s="27" t="n"/>
      <c r="DJ17" s="27" t="n"/>
      <c r="DK17" s="27" t="n"/>
      <c r="DL17" s="27" t="n"/>
      <c r="DM17" s="27" t="n"/>
      <c r="DN17" s="27" t="n"/>
      <c r="DO17" s="27" t="n"/>
      <c r="DP17" s="27" t="n"/>
      <c r="DQ17" s="27" t="n"/>
      <c r="DR17" s="27" t="n"/>
      <c r="DS17" s="27" t="n"/>
      <c r="DT17" s="27" t="n"/>
      <c r="DU17" s="27" t="n"/>
      <c r="DV17" s="27" t="n"/>
      <c r="DW17" s="27" t="n"/>
      <c r="DX17" s="27" t="n"/>
      <c r="DY17" s="27" t="n"/>
      <c r="DZ17" s="27" t="n"/>
      <c r="EA17" s="27" t="n"/>
      <c r="EB17" s="27" t="n"/>
      <c r="EC17" s="27" t="n"/>
      <c r="ED17" s="27" t="n"/>
      <c r="EE17" s="27" t="n"/>
      <c r="EF17" s="27" t="n"/>
      <c r="EG17" s="27" t="n"/>
      <c r="EH17" s="27" t="n"/>
      <c r="EI17" s="27" t="n"/>
      <c r="EJ17" s="27" t="n"/>
      <c r="EK17" s="27" t="n"/>
      <c r="EL17" s="27" t="n"/>
      <c r="EM17" s="27" t="n"/>
      <c r="EN17" s="27" t="n"/>
      <c r="EO17" s="27" t="n"/>
      <c r="EP17" s="27" t="n"/>
      <c r="EQ17" s="27" t="n"/>
      <c r="ER17" s="27" t="n"/>
      <c r="ES17" s="27" t="n"/>
      <c r="ET17" s="27" t="n"/>
      <c r="EU17" s="27" t="n"/>
      <c r="EV17" s="27" t="n"/>
      <c r="EW17" s="27" t="n"/>
      <c r="EX17" s="27" t="n"/>
      <c r="EY17" s="27" t="n"/>
      <c r="EZ17" s="27" t="n"/>
      <c r="FA17" s="27" t="n"/>
      <c r="FB17" s="27" t="n"/>
      <c r="FC17" s="27" t="n"/>
      <c r="FD17" s="27" t="n"/>
      <c r="FE17" s="27" t="n"/>
      <c r="FF17" s="27" t="n"/>
      <c r="FG17" s="27" t="n"/>
      <c r="FH17" s="27" t="n"/>
      <c r="FI17" s="27" t="n"/>
      <c r="FJ17" s="27" t="n"/>
      <c r="FK17" s="27" t="n"/>
      <c r="FL17" s="27" t="n"/>
      <c r="FM17" s="27" t="n"/>
      <c r="FN17" s="27" t="n"/>
      <c r="FO17" s="27" t="n"/>
      <c r="FP17" s="27" t="n"/>
      <c r="FQ17" s="27" t="n"/>
      <c r="FR17" s="27" t="n"/>
      <c r="FS17" s="27" t="n"/>
      <c r="FT17" s="27" t="n"/>
      <c r="FU17" s="27" t="n"/>
      <c r="FV17" s="27" t="n"/>
      <c r="FW17" s="27" t="n"/>
      <c r="FX17" s="27" t="n"/>
      <c r="FY17" s="27" t="n"/>
      <c r="FZ17" s="27" t="n"/>
      <c r="GA17" s="27" t="n"/>
      <c r="GB17" s="27" t="n"/>
      <c r="GC17" s="27" t="n"/>
      <c r="GD17" s="27" t="n"/>
      <c r="GE17" s="27" t="n"/>
      <c r="GF17" s="27" t="n"/>
      <c r="GG17" s="27" t="n"/>
      <c r="GH17" s="27" t="n"/>
      <c r="GI17" s="27" t="n"/>
      <c r="GJ17" s="27" t="n"/>
      <c r="GK17" s="27" t="n"/>
      <c r="GL17" s="27" t="n"/>
      <c r="GM17" s="27" t="n"/>
      <c r="GN17" s="27" t="n"/>
      <c r="GO17" s="27" t="n"/>
      <c r="GP17" s="27" t="n"/>
      <c r="GQ17" s="27" t="n"/>
      <c r="GR17" s="27" t="n"/>
      <c r="GS17" s="27" t="n"/>
      <c r="GT17" s="27" t="n"/>
      <c r="GU17" s="27" t="n"/>
      <c r="GV17" s="27" t="n"/>
      <c r="GW17" s="27" t="n"/>
      <c r="GX17" s="27" t="n"/>
      <c r="GY17" s="27" t="n"/>
      <c r="GZ17" s="27" t="n"/>
      <c r="HA17" s="27" t="n"/>
      <c r="HB17" s="27" t="n"/>
      <c r="HC17" s="27" t="n"/>
      <c r="HD17" s="27" t="n"/>
      <c r="HE17" s="27" t="n"/>
      <c r="HF17" s="27" t="n"/>
      <c r="HG17" s="27" t="n"/>
      <c r="HH17" s="27" t="n"/>
      <c r="HI17" s="27" t="n"/>
      <c r="HJ17" s="27" t="n"/>
      <c r="HK17" s="27" t="n"/>
      <c r="HL17" s="27" t="n"/>
      <c r="HM17" s="27" t="n"/>
      <c r="HN17" s="27" t="n"/>
      <c r="HO17" s="27" t="n"/>
      <c r="HP17" s="27" t="n"/>
      <c r="HQ17" s="27" t="n"/>
      <c r="HR17" s="27" t="n"/>
      <c r="HS17" s="27" t="n"/>
      <c r="HT17" s="27" t="n"/>
      <c r="HU17" s="27" t="n"/>
      <c r="HV17" s="27" t="n"/>
      <c r="HW17" s="27" t="n"/>
      <c r="HX17" s="27" t="n"/>
      <c r="HY17" s="27" t="n"/>
      <c r="HZ17" s="27" t="n"/>
      <c r="IA17" s="27" t="n"/>
      <c r="IB17" s="27" t="n"/>
      <c r="IC17" s="27" t="n"/>
      <c r="ID17" s="27" t="n"/>
      <c r="IE17" s="27" t="n"/>
      <c r="IF17" s="27" t="n"/>
      <c r="IG17" s="27" t="n"/>
      <c r="IH17" s="27" t="n"/>
      <c r="II17" s="27" t="n"/>
      <c r="IJ17" s="27" t="n"/>
      <c r="IK17" s="27" t="n"/>
      <c r="IL17" s="27" t="n"/>
      <c r="IM17" s="27" t="n"/>
      <c r="IN17" s="27" t="n"/>
      <c r="IO17" s="27" t="n"/>
      <c r="IP17" s="27" t="n"/>
      <c r="IQ17" s="27" t="n"/>
      <c r="IR17" s="27" t="n"/>
      <c r="IS17" s="27" t="n"/>
      <c r="IT17" s="27" t="n"/>
      <c r="IU17" s="27" t="n"/>
      <c r="IV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  <c r="AA18" s="27" t="n"/>
      <c r="AB18" s="27" t="n"/>
      <c r="AC18" s="27" t="n"/>
      <c r="AD18" s="27" t="n"/>
      <c r="AE18" s="27" t="n"/>
      <c r="AF18" s="27" t="n"/>
      <c r="AG18" s="27" t="n"/>
      <c r="AH18" s="27" t="n"/>
      <c r="AI18" s="27" t="n"/>
      <c r="AJ18" s="27" t="n"/>
      <c r="AK18" s="27" t="n"/>
      <c r="AL18" s="27" t="n"/>
      <c r="AM18" s="27" t="n"/>
      <c r="AN18" s="27" t="n"/>
      <c r="AO18" s="27" t="n"/>
      <c r="AP18" s="27" t="n"/>
      <c r="AQ18" s="27" t="n"/>
      <c r="AR18" s="27" t="n"/>
      <c r="AS18" s="27" t="n"/>
      <c r="AT18" s="27" t="n"/>
      <c r="AU18" s="27" t="n"/>
      <c r="AV18" s="27" t="n"/>
      <c r="AW18" s="27" t="n"/>
      <c r="AX18" s="27" t="n"/>
      <c r="AY18" s="27" t="n"/>
      <c r="AZ18" s="27" t="n"/>
      <c r="BA18" s="27" t="n"/>
      <c r="BB18" s="27" t="n"/>
      <c r="BC18" s="27" t="n"/>
      <c r="BD18" s="27" t="n"/>
      <c r="BE18" s="27" t="n"/>
      <c r="BF18" s="27" t="n"/>
      <c r="BG18" s="27" t="n"/>
      <c r="BH18" s="27" t="n"/>
      <c r="BI18" s="27" t="n"/>
      <c r="BJ18" s="27" t="n"/>
      <c r="BK18" s="27" t="n"/>
      <c r="BL18" s="27" t="n"/>
      <c r="BM18" s="27" t="n"/>
      <c r="BN18" s="27" t="n"/>
      <c r="BO18" s="27" t="n"/>
      <c r="BP18" s="27" t="n"/>
      <c r="BQ18" s="27" t="n"/>
      <c r="BR18" s="27" t="n"/>
      <c r="BS18" s="27" t="n"/>
      <c r="BT18" s="27" t="n"/>
      <c r="BU18" s="27" t="n"/>
      <c r="BV18" s="27" t="n"/>
      <c r="BW18" s="27" t="n"/>
      <c r="BX18" s="27" t="n"/>
      <c r="BY18" s="27" t="n"/>
      <c r="BZ18" s="27" t="n"/>
      <c r="CA18" s="27" t="n"/>
      <c r="CB18" s="27" t="n"/>
      <c r="CC18" s="27" t="n"/>
      <c r="CD18" s="27" t="n"/>
      <c r="CE18" s="27" t="n"/>
      <c r="CF18" s="27" t="n"/>
      <c r="CG18" s="27" t="n"/>
      <c r="CH18" s="27" t="n"/>
      <c r="CI18" s="27" t="n"/>
      <c r="CJ18" s="27" t="n"/>
      <c r="CK18" s="27" t="n"/>
      <c r="CL18" s="27" t="n"/>
      <c r="CM18" s="27" t="n"/>
      <c r="CN18" s="27" t="n"/>
      <c r="CO18" s="27" t="n"/>
      <c r="CP18" s="27" t="n"/>
      <c r="CQ18" s="27" t="n"/>
      <c r="CR18" s="27" t="n"/>
      <c r="CS18" s="27" t="n"/>
      <c r="CT18" s="27" t="n"/>
      <c r="CU18" s="27" t="n"/>
      <c r="CV18" s="27" t="n"/>
      <c r="CW18" s="27" t="n"/>
      <c r="CX18" s="27" t="n"/>
      <c r="CY18" s="27" t="n"/>
      <c r="CZ18" s="27" t="n"/>
      <c r="DA18" s="27" t="n"/>
      <c r="DB18" s="27" t="n"/>
      <c r="DC18" s="27" t="n"/>
      <c r="DD18" s="27" t="n"/>
      <c r="DE18" s="27" t="n"/>
      <c r="DF18" s="27" t="n"/>
      <c r="DG18" s="27" t="n"/>
      <c r="DH18" s="27" t="n"/>
      <c r="DI18" s="27" t="n"/>
      <c r="DJ18" s="27" t="n"/>
      <c r="DK18" s="27" t="n"/>
      <c r="DL18" s="27" t="n"/>
      <c r="DM18" s="27" t="n"/>
      <c r="DN18" s="27" t="n"/>
      <c r="DO18" s="27" t="n"/>
      <c r="DP18" s="27" t="n"/>
      <c r="DQ18" s="27" t="n"/>
      <c r="DR18" s="27" t="n"/>
      <c r="DS18" s="27" t="n"/>
      <c r="DT18" s="27" t="n"/>
      <c r="DU18" s="27" t="n"/>
      <c r="DV18" s="27" t="n"/>
      <c r="DW18" s="27" t="n"/>
      <c r="DX18" s="27" t="n"/>
      <c r="DY18" s="27" t="n"/>
      <c r="DZ18" s="27" t="n"/>
      <c r="EA18" s="27" t="n"/>
      <c r="EB18" s="27" t="n"/>
      <c r="EC18" s="27" t="n"/>
      <c r="ED18" s="27" t="n"/>
      <c r="EE18" s="27" t="n"/>
      <c r="EF18" s="27" t="n"/>
      <c r="EG18" s="27" t="n"/>
      <c r="EH18" s="27" t="n"/>
      <c r="EI18" s="27" t="n"/>
      <c r="EJ18" s="27" t="n"/>
      <c r="EK18" s="27" t="n"/>
      <c r="EL18" s="27" t="n"/>
      <c r="EM18" s="27" t="n"/>
      <c r="EN18" s="27" t="n"/>
      <c r="EO18" s="27" t="n"/>
      <c r="EP18" s="27" t="n"/>
      <c r="EQ18" s="27" t="n"/>
      <c r="ER18" s="27" t="n"/>
      <c r="ES18" s="27" t="n"/>
      <c r="ET18" s="27" t="n"/>
      <c r="EU18" s="27" t="n"/>
      <c r="EV18" s="27" t="n"/>
      <c r="EW18" s="27" t="n"/>
      <c r="EX18" s="27" t="n"/>
      <c r="EY18" s="27" t="n"/>
      <c r="EZ18" s="27" t="n"/>
      <c r="FA18" s="27" t="n"/>
      <c r="FB18" s="27" t="n"/>
      <c r="FC18" s="27" t="n"/>
      <c r="FD18" s="27" t="n"/>
      <c r="FE18" s="27" t="n"/>
      <c r="FF18" s="27" t="n"/>
      <c r="FG18" s="27" t="n"/>
      <c r="FH18" s="27" t="n"/>
      <c r="FI18" s="27" t="n"/>
      <c r="FJ18" s="27" t="n"/>
      <c r="FK18" s="27" t="n"/>
      <c r="FL18" s="27" t="n"/>
      <c r="FM18" s="27" t="n"/>
      <c r="FN18" s="27" t="n"/>
      <c r="FO18" s="27" t="n"/>
      <c r="FP18" s="27" t="n"/>
      <c r="FQ18" s="27" t="n"/>
      <c r="FR18" s="27" t="n"/>
      <c r="FS18" s="27" t="n"/>
      <c r="FT18" s="27" t="n"/>
      <c r="FU18" s="27" t="n"/>
      <c r="FV18" s="27" t="n"/>
      <c r="FW18" s="27" t="n"/>
      <c r="FX18" s="27" t="n"/>
      <c r="FY18" s="27" t="n"/>
      <c r="FZ18" s="27" t="n"/>
      <c r="GA18" s="27" t="n"/>
      <c r="GB18" s="27" t="n"/>
      <c r="GC18" s="27" t="n"/>
      <c r="GD18" s="27" t="n"/>
      <c r="GE18" s="27" t="n"/>
      <c r="GF18" s="27" t="n"/>
      <c r="GG18" s="27" t="n"/>
      <c r="GH18" s="27" t="n"/>
      <c r="GI18" s="27" t="n"/>
      <c r="GJ18" s="27" t="n"/>
      <c r="GK18" s="27" t="n"/>
      <c r="GL18" s="27" t="n"/>
      <c r="GM18" s="27" t="n"/>
      <c r="GN18" s="27" t="n"/>
      <c r="GO18" s="27" t="n"/>
      <c r="GP18" s="27" t="n"/>
      <c r="GQ18" s="27" t="n"/>
      <c r="GR18" s="27" t="n"/>
      <c r="GS18" s="27" t="n"/>
      <c r="GT18" s="27" t="n"/>
      <c r="GU18" s="27" t="n"/>
      <c r="GV18" s="27" t="n"/>
      <c r="GW18" s="27" t="n"/>
      <c r="GX18" s="27" t="n"/>
      <c r="GY18" s="27" t="n"/>
      <c r="GZ18" s="27" t="n"/>
      <c r="HA18" s="27" t="n"/>
      <c r="HB18" s="27" t="n"/>
      <c r="HC18" s="27" t="n"/>
      <c r="HD18" s="27" t="n"/>
      <c r="HE18" s="27" t="n"/>
      <c r="HF18" s="27" t="n"/>
      <c r="HG18" s="27" t="n"/>
      <c r="HH18" s="27" t="n"/>
      <c r="HI18" s="27" t="n"/>
      <c r="HJ18" s="27" t="n"/>
      <c r="HK18" s="27" t="n"/>
      <c r="HL18" s="27" t="n"/>
      <c r="HM18" s="27" t="n"/>
      <c r="HN18" s="27" t="n"/>
      <c r="HO18" s="27" t="n"/>
      <c r="HP18" s="27" t="n"/>
      <c r="HQ18" s="27" t="n"/>
      <c r="HR18" s="27" t="n"/>
      <c r="HS18" s="27" t="n"/>
      <c r="HT18" s="27" t="n"/>
      <c r="HU18" s="27" t="n"/>
      <c r="HV18" s="27" t="n"/>
      <c r="HW18" s="27" t="n"/>
      <c r="HX18" s="27" t="n"/>
      <c r="HY18" s="27" t="n"/>
      <c r="HZ18" s="27" t="n"/>
      <c r="IA18" s="27" t="n"/>
      <c r="IB18" s="27" t="n"/>
      <c r="IC18" s="27" t="n"/>
      <c r="ID18" s="27" t="n"/>
      <c r="IE18" s="27" t="n"/>
      <c r="IF18" s="27" t="n"/>
      <c r="IG18" s="27" t="n"/>
      <c r="IH18" s="27" t="n"/>
      <c r="II18" s="27" t="n"/>
      <c r="IJ18" s="27" t="n"/>
      <c r="IK18" s="27" t="n"/>
      <c r="IL18" s="27" t="n"/>
      <c r="IM18" s="27" t="n"/>
      <c r="IN18" s="27" t="n"/>
      <c r="IO18" s="27" t="n"/>
      <c r="IP18" s="27" t="n"/>
      <c r="IQ18" s="27" t="n"/>
      <c r="IR18" s="27" t="n"/>
      <c r="IS18" s="27" t="n"/>
      <c r="IT18" s="27" t="n"/>
      <c r="IU18" s="27" t="n"/>
      <c r="IV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  <c r="AA19" s="27" t="n"/>
      <c r="AB19" s="27" t="n"/>
      <c r="AC19" s="27" t="n"/>
      <c r="AD19" s="27" t="n"/>
      <c r="AE19" s="27" t="n"/>
      <c r="AF19" s="27" t="n"/>
      <c r="AG19" s="27" t="n"/>
      <c r="AH19" s="27" t="n"/>
      <c r="AI19" s="27" t="n"/>
      <c r="AJ19" s="27" t="n"/>
      <c r="AK19" s="27" t="n"/>
      <c r="AL19" s="27" t="n"/>
      <c r="AM19" s="27" t="n"/>
      <c r="AN19" s="27" t="n"/>
      <c r="AO19" s="27" t="n"/>
      <c r="AP19" s="27" t="n"/>
      <c r="AQ19" s="27" t="n"/>
      <c r="AR19" s="27" t="n"/>
      <c r="AS19" s="27" t="n"/>
      <c r="AT19" s="27" t="n"/>
      <c r="AU19" s="27" t="n"/>
      <c r="AV19" s="27" t="n"/>
      <c r="AW19" s="27" t="n"/>
      <c r="AX19" s="27" t="n"/>
      <c r="AY19" s="27" t="n"/>
      <c r="AZ19" s="27" t="n"/>
      <c r="BA19" s="27" t="n"/>
      <c r="BB19" s="27" t="n"/>
      <c r="BC19" s="27" t="n"/>
      <c r="BD19" s="27" t="n"/>
      <c r="BE19" s="27" t="n"/>
      <c r="BF19" s="27" t="n"/>
      <c r="BG19" s="27" t="n"/>
      <c r="BH19" s="27" t="n"/>
      <c r="BI19" s="27" t="n"/>
      <c r="BJ19" s="27" t="n"/>
      <c r="BK19" s="27" t="n"/>
      <c r="BL19" s="27" t="n"/>
      <c r="BM19" s="27" t="n"/>
      <c r="BN19" s="27" t="n"/>
      <c r="BO19" s="27" t="n"/>
      <c r="BP19" s="27" t="n"/>
      <c r="BQ19" s="27" t="n"/>
      <c r="BR19" s="27" t="n"/>
      <c r="BS19" s="27" t="n"/>
      <c r="BT19" s="27" t="n"/>
      <c r="BU19" s="27" t="n"/>
      <c r="BV19" s="27" t="n"/>
      <c r="BW19" s="27" t="n"/>
      <c r="BX19" s="27" t="n"/>
      <c r="BY19" s="27" t="n"/>
      <c r="BZ19" s="27" t="n"/>
      <c r="CA19" s="27" t="n"/>
      <c r="CB19" s="27" t="n"/>
      <c r="CC19" s="27" t="n"/>
      <c r="CD19" s="27" t="n"/>
      <c r="CE19" s="27" t="n"/>
      <c r="CF19" s="27" t="n"/>
      <c r="CG19" s="27" t="n"/>
      <c r="CH19" s="27" t="n"/>
      <c r="CI19" s="27" t="n"/>
      <c r="CJ19" s="27" t="n"/>
      <c r="CK19" s="27" t="n"/>
      <c r="CL19" s="27" t="n"/>
      <c r="CM19" s="27" t="n"/>
      <c r="CN19" s="27" t="n"/>
      <c r="CO19" s="27" t="n"/>
      <c r="CP19" s="27" t="n"/>
      <c r="CQ19" s="27" t="n"/>
      <c r="CR19" s="27" t="n"/>
      <c r="CS19" s="27" t="n"/>
      <c r="CT19" s="27" t="n"/>
      <c r="CU19" s="27" t="n"/>
      <c r="CV19" s="27" t="n"/>
      <c r="CW19" s="27" t="n"/>
      <c r="CX19" s="27" t="n"/>
      <c r="CY19" s="27" t="n"/>
      <c r="CZ19" s="27" t="n"/>
      <c r="DA19" s="27" t="n"/>
      <c r="DB19" s="27" t="n"/>
      <c r="DC19" s="27" t="n"/>
      <c r="DD19" s="27" t="n"/>
      <c r="DE19" s="27" t="n"/>
      <c r="DF19" s="27" t="n"/>
      <c r="DG19" s="27" t="n"/>
      <c r="DH19" s="27" t="n"/>
      <c r="DI19" s="27" t="n"/>
      <c r="DJ19" s="27" t="n"/>
      <c r="DK19" s="27" t="n"/>
      <c r="DL19" s="27" t="n"/>
      <c r="DM19" s="27" t="n"/>
      <c r="DN19" s="27" t="n"/>
      <c r="DO19" s="27" t="n"/>
      <c r="DP19" s="27" t="n"/>
      <c r="DQ19" s="27" t="n"/>
      <c r="DR19" s="27" t="n"/>
      <c r="DS19" s="27" t="n"/>
      <c r="DT19" s="27" t="n"/>
      <c r="DU19" s="27" t="n"/>
      <c r="DV19" s="27" t="n"/>
      <c r="DW19" s="27" t="n"/>
      <c r="DX19" s="27" t="n"/>
      <c r="DY19" s="27" t="n"/>
      <c r="DZ19" s="27" t="n"/>
      <c r="EA19" s="27" t="n"/>
      <c r="EB19" s="27" t="n"/>
      <c r="EC19" s="27" t="n"/>
      <c r="ED19" s="27" t="n"/>
      <c r="EE19" s="27" t="n"/>
      <c r="EF19" s="27" t="n"/>
      <c r="EG19" s="27" t="n"/>
      <c r="EH19" s="27" t="n"/>
      <c r="EI19" s="27" t="n"/>
      <c r="EJ19" s="27" t="n"/>
      <c r="EK19" s="27" t="n"/>
      <c r="EL19" s="27" t="n"/>
      <c r="EM19" s="27" t="n"/>
      <c r="EN19" s="27" t="n"/>
      <c r="EO19" s="27" t="n"/>
      <c r="EP19" s="27" t="n"/>
      <c r="EQ19" s="27" t="n"/>
      <c r="ER19" s="27" t="n"/>
      <c r="ES19" s="27" t="n"/>
      <c r="ET19" s="27" t="n"/>
      <c r="EU19" s="27" t="n"/>
      <c r="EV19" s="27" t="n"/>
      <c r="EW19" s="27" t="n"/>
      <c r="EX19" s="27" t="n"/>
      <c r="EY19" s="27" t="n"/>
      <c r="EZ19" s="27" t="n"/>
      <c r="FA19" s="27" t="n"/>
      <c r="FB19" s="27" t="n"/>
      <c r="FC19" s="27" t="n"/>
      <c r="FD19" s="27" t="n"/>
      <c r="FE19" s="27" t="n"/>
      <c r="FF19" s="27" t="n"/>
      <c r="FG19" s="27" t="n"/>
      <c r="FH19" s="27" t="n"/>
      <c r="FI19" s="27" t="n"/>
      <c r="FJ19" s="27" t="n"/>
      <c r="FK19" s="27" t="n"/>
      <c r="FL19" s="27" t="n"/>
      <c r="FM19" s="27" t="n"/>
      <c r="FN19" s="27" t="n"/>
      <c r="FO19" s="27" t="n"/>
      <c r="FP19" s="27" t="n"/>
      <c r="FQ19" s="27" t="n"/>
      <c r="FR19" s="27" t="n"/>
      <c r="FS19" s="27" t="n"/>
      <c r="FT19" s="27" t="n"/>
      <c r="FU19" s="27" t="n"/>
      <c r="FV19" s="27" t="n"/>
      <c r="FW19" s="27" t="n"/>
      <c r="FX19" s="27" t="n"/>
      <c r="FY19" s="27" t="n"/>
      <c r="FZ19" s="27" t="n"/>
      <c r="GA19" s="27" t="n"/>
      <c r="GB19" s="27" t="n"/>
      <c r="GC19" s="27" t="n"/>
      <c r="GD19" s="27" t="n"/>
      <c r="GE19" s="27" t="n"/>
      <c r="GF19" s="27" t="n"/>
      <c r="GG19" s="27" t="n"/>
      <c r="GH19" s="27" t="n"/>
      <c r="GI19" s="27" t="n"/>
      <c r="GJ19" s="27" t="n"/>
      <c r="GK19" s="27" t="n"/>
      <c r="GL19" s="27" t="n"/>
      <c r="GM19" s="27" t="n"/>
      <c r="GN19" s="27" t="n"/>
      <c r="GO19" s="27" t="n"/>
      <c r="GP19" s="27" t="n"/>
      <c r="GQ19" s="27" t="n"/>
      <c r="GR19" s="27" t="n"/>
      <c r="GS19" s="27" t="n"/>
      <c r="GT19" s="27" t="n"/>
      <c r="GU19" s="27" t="n"/>
      <c r="GV19" s="27" t="n"/>
      <c r="GW19" s="27" t="n"/>
      <c r="GX19" s="27" t="n"/>
      <c r="GY19" s="27" t="n"/>
      <c r="GZ19" s="27" t="n"/>
      <c r="HA19" s="27" t="n"/>
      <c r="HB19" s="27" t="n"/>
      <c r="HC19" s="27" t="n"/>
      <c r="HD19" s="27" t="n"/>
      <c r="HE19" s="27" t="n"/>
      <c r="HF19" s="27" t="n"/>
      <c r="HG19" s="27" t="n"/>
      <c r="HH19" s="27" t="n"/>
      <c r="HI19" s="27" t="n"/>
      <c r="HJ19" s="27" t="n"/>
      <c r="HK19" s="27" t="n"/>
      <c r="HL19" s="27" t="n"/>
      <c r="HM19" s="27" t="n"/>
      <c r="HN19" s="27" t="n"/>
      <c r="HO19" s="27" t="n"/>
      <c r="HP19" s="27" t="n"/>
      <c r="HQ19" s="27" t="n"/>
      <c r="HR19" s="27" t="n"/>
      <c r="HS19" s="27" t="n"/>
      <c r="HT19" s="27" t="n"/>
      <c r="HU19" s="27" t="n"/>
      <c r="HV19" s="27" t="n"/>
      <c r="HW19" s="27" t="n"/>
      <c r="HX19" s="27" t="n"/>
      <c r="HY19" s="27" t="n"/>
      <c r="HZ19" s="27" t="n"/>
      <c r="IA19" s="27" t="n"/>
      <c r="IB19" s="27" t="n"/>
      <c r="IC19" s="27" t="n"/>
      <c r="ID19" s="27" t="n"/>
      <c r="IE19" s="27" t="n"/>
      <c r="IF19" s="27" t="n"/>
      <c r="IG19" s="27" t="n"/>
      <c r="IH19" s="27" t="n"/>
      <c r="II19" s="27" t="n"/>
      <c r="IJ19" s="27" t="n"/>
      <c r="IK19" s="27" t="n"/>
      <c r="IL19" s="27" t="n"/>
      <c r="IM19" s="27" t="n"/>
      <c r="IN19" s="27" t="n"/>
      <c r="IO19" s="27" t="n"/>
      <c r="IP19" s="27" t="n"/>
      <c r="IQ19" s="27" t="n"/>
      <c r="IR19" s="27" t="n"/>
      <c r="IS19" s="27" t="n"/>
      <c r="IT19" s="27" t="n"/>
      <c r="IU19" s="27" t="n"/>
      <c r="IV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  <c r="AA20" s="27" t="n"/>
      <c r="AB20" s="27" t="n"/>
      <c r="AC20" s="27" t="n"/>
      <c r="AD20" s="27" t="n"/>
      <c r="AE20" s="27" t="n"/>
      <c r="AF20" s="27" t="n"/>
      <c r="AG20" s="27" t="n"/>
      <c r="AH20" s="27" t="n"/>
      <c r="AI20" s="27" t="n"/>
      <c r="AJ20" s="27" t="n"/>
      <c r="AK20" s="27" t="n"/>
      <c r="AL20" s="27" t="n"/>
      <c r="AM20" s="27" t="n"/>
      <c r="AN20" s="27" t="n"/>
      <c r="AO20" s="27" t="n"/>
      <c r="AP20" s="27" t="n"/>
      <c r="AQ20" s="27" t="n"/>
      <c r="AR20" s="27" t="n"/>
      <c r="AS20" s="27" t="n"/>
      <c r="AT20" s="27" t="n"/>
      <c r="AU20" s="27" t="n"/>
      <c r="AV20" s="27" t="n"/>
      <c r="AW20" s="27" t="n"/>
      <c r="AX20" s="27" t="n"/>
      <c r="AY20" s="27" t="n"/>
      <c r="AZ20" s="27" t="n"/>
      <c r="BA20" s="27" t="n"/>
      <c r="BB20" s="27" t="n"/>
      <c r="BC20" s="27" t="n"/>
      <c r="BD20" s="27" t="n"/>
      <c r="BE20" s="27" t="n"/>
      <c r="BF20" s="27" t="n"/>
      <c r="BG20" s="27" t="n"/>
      <c r="BH20" s="27" t="n"/>
      <c r="BI20" s="27" t="n"/>
      <c r="BJ20" s="27" t="n"/>
      <c r="BK20" s="27" t="n"/>
      <c r="BL20" s="27" t="n"/>
      <c r="BM20" s="27" t="n"/>
      <c r="BN20" s="27" t="n"/>
      <c r="BO20" s="27" t="n"/>
      <c r="BP20" s="27" t="n"/>
      <c r="BQ20" s="27" t="n"/>
      <c r="BR20" s="27" t="n"/>
      <c r="BS20" s="27" t="n"/>
      <c r="BT20" s="27" t="n"/>
      <c r="BU20" s="27" t="n"/>
      <c r="BV20" s="27" t="n"/>
      <c r="BW20" s="27" t="n"/>
      <c r="BX20" s="27" t="n"/>
      <c r="BY20" s="27" t="n"/>
      <c r="BZ20" s="27" t="n"/>
      <c r="CA20" s="27" t="n"/>
      <c r="CB20" s="27" t="n"/>
      <c r="CC20" s="27" t="n"/>
      <c r="CD20" s="27" t="n"/>
      <c r="CE20" s="27" t="n"/>
      <c r="CF20" s="27" t="n"/>
      <c r="CG20" s="27" t="n"/>
      <c r="CH20" s="27" t="n"/>
      <c r="CI20" s="27" t="n"/>
      <c r="CJ20" s="27" t="n"/>
      <c r="CK20" s="27" t="n"/>
      <c r="CL20" s="27" t="n"/>
      <c r="CM20" s="27" t="n"/>
      <c r="CN20" s="27" t="n"/>
      <c r="CO20" s="27" t="n"/>
      <c r="CP20" s="27" t="n"/>
      <c r="CQ20" s="27" t="n"/>
      <c r="CR20" s="27" t="n"/>
      <c r="CS20" s="27" t="n"/>
      <c r="CT20" s="27" t="n"/>
      <c r="CU20" s="27" t="n"/>
      <c r="CV20" s="27" t="n"/>
      <c r="CW20" s="27" t="n"/>
      <c r="CX20" s="27" t="n"/>
      <c r="CY20" s="27" t="n"/>
      <c r="CZ20" s="27" t="n"/>
      <c r="DA20" s="27" t="n"/>
      <c r="DB20" s="27" t="n"/>
      <c r="DC20" s="27" t="n"/>
      <c r="DD20" s="27" t="n"/>
      <c r="DE20" s="27" t="n"/>
      <c r="DF20" s="27" t="n"/>
      <c r="DG20" s="27" t="n"/>
      <c r="DH20" s="27" t="n"/>
      <c r="DI20" s="27" t="n"/>
      <c r="DJ20" s="27" t="n"/>
      <c r="DK20" s="27" t="n"/>
      <c r="DL20" s="27" t="n"/>
      <c r="DM20" s="27" t="n"/>
      <c r="DN20" s="27" t="n"/>
      <c r="DO20" s="27" t="n"/>
      <c r="DP20" s="27" t="n"/>
      <c r="DQ20" s="27" t="n"/>
      <c r="DR20" s="27" t="n"/>
      <c r="DS20" s="27" t="n"/>
      <c r="DT20" s="27" t="n"/>
      <c r="DU20" s="27" t="n"/>
      <c r="DV20" s="27" t="n"/>
      <c r="DW20" s="27" t="n"/>
      <c r="DX20" s="27" t="n"/>
      <c r="DY20" s="27" t="n"/>
      <c r="DZ20" s="27" t="n"/>
      <c r="EA20" s="27" t="n"/>
      <c r="EB20" s="27" t="n"/>
      <c r="EC20" s="27" t="n"/>
      <c r="ED20" s="27" t="n"/>
      <c r="EE20" s="27" t="n"/>
      <c r="EF20" s="27" t="n"/>
      <c r="EG20" s="27" t="n"/>
      <c r="EH20" s="27" t="n"/>
      <c r="EI20" s="27" t="n"/>
      <c r="EJ20" s="27" t="n"/>
      <c r="EK20" s="27" t="n"/>
      <c r="EL20" s="27" t="n"/>
      <c r="EM20" s="27" t="n"/>
      <c r="EN20" s="27" t="n"/>
      <c r="EO20" s="27" t="n"/>
      <c r="EP20" s="27" t="n"/>
      <c r="EQ20" s="27" t="n"/>
      <c r="ER20" s="27" t="n"/>
      <c r="ES20" s="27" t="n"/>
      <c r="ET20" s="27" t="n"/>
      <c r="EU20" s="27" t="n"/>
      <c r="EV20" s="27" t="n"/>
      <c r="EW20" s="27" t="n"/>
      <c r="EX20" s="27" t="n"/>
      <c r="EY20" s="27" t="n"/>
      <c r="EZ20" s="27" t="n"/>
      <c r="FA20" s="27" t="n"/>
      <c r="FB20" s="27" t="n"/>
      <c r="FC20" s="27" t="n"/>
      <c r="FD20" s="27" t="n"/>
      <c r="FE20" s="27" t="n"/>
      <c r="FF20" s="27" t="n"/>
      <c r="FG20" s="27" t="n"/>
      <c r="FH20" s="27" t="n"/>
      <c r="FI20" s="27" t="n"/>
      <c r="FJ20" s="27" t="n"/>
      <c r="FK20" s="27" t="n"/>
      <c r="FL20" s="27" t="n"/>
      <c r="FM20" s="27" t="n"/>
      <c r="FN20" s="27" t="n"/>
      <c r="FO20" s="27" t="n"/>
      <c r="FP20" s="27" t="n"/>
      <c r="FQ20" s="27" t="n"/>
      <c r="FR20" s="27" t="n"/>
      <c r="FS20" s="27" t="n"/>
      <c r="FT20" s="27" t="n"/>
      <c r="FU20" s="27" t="n"/>
      <c r="FV20" s="27" t="n"/>
      <c r="FW20" s="27" t="n"/>
      <c r="FX20" s="27" t="n"/>
      <c r="FY20" s="27" t="n"/>
      <c r="FZ20" s="27" t="n"/>
      <c r="GA20" s="27" t="n"/>
      <c r="GB20" s="27" t="n"/>
      <c r="GC20" s="27" t="n"/>
      <c r="GD20" s="27" t="n"/>
      <c r="GE20" s="27" t="n"/>
      <c r="GF20" s="27" t="n"/>
      <c r="GG20" s="27" t="n"/>
      <c r="GH20" s="27" t="n"/>
      <c r="GI20" s="27" t="n"/>
      <c r="GJ20" s="27" t="n"/>
      <c r="GK20" s="27" t="n"/>
      <c r="GL20" s="27" t="n"/>
      <c r="GM20" s="27" t="n"/>
      <c r="GN20" s="27" t="n"/>
      <c r="GO20" s="27" t="n"/>
      <c r="GP20" s="27" t="n"/>
      <c r="GQ20" s="27" t="n"/>
      <c r="GR20" s="27" t="n"/>
      <c r="GS20" s="27" t="n"/>
      <c r="GT20" s="27" t="n"/>
      <c r="GU20" s="27" t="n"/>
      <c r="GV20" s="27" t="n"/>
      <c r="GW20" s="27" t="n"/>
      <c r="GX20" s="27" t="n"/>
      <c r="GY20" s="27" t="n"/>
      <c r="GZ20" s="27" t="n"/>
      <c r="HA20" s="27" t="n"/>
      <c r="HB20" s="27" t="n"/>
      <c r="HC20" s="27" t="n"/>
      <c r="HD20" s="27" t="n"/>
      <c r="HE20" s="27" t="n"/>
      <c r="HF20" s="27" t="n"/>
      <c r="HG20" s="27" t="n"/>
      <c r="HH20" s="27" t="n"/>
      <c r="HI20" s="27" t="n"/>
      <c r="HJ20" s="27" t="n"/>
      <c r="HK20" s="27" t="n"/>
      <c r="HL20" s="27" t="n"/>
      <c r="HM20" s="27" t="n"/>
      <c r="HN20" s="27" t="n"/>
      <c r="HO20" s="27" t="n"/>
      <c r="HP20" s="27" t="n"/>
      <c r="HQ20" s="27" t="n"/>
      <c r="HR20" s="27" t="n"/>
      <c r="HS20" s="27" t="n"/>
      <c r="HT20" s="27" t="n"/>
      <c r="HU20" s="27" t="n"/>
      <c r="HV20" s="27" t="n"/>
      <c r="HW20" s="27" t="n"/>
      <c r="HX20" s="27" t="n"/>
      <c r="HY20" s="27" t="n"/>
      <c r="HZ20" s="27" t="n"/>
      <c r="IA20" s="27" t="n"/>
      <c r="IB20" s="27" t="n"/>
      <c r="IC20" s="27" t="n"/>
      <c r="ID20" s="27" t="n"/>
      <c r="IE20" s="27" t="n"/>
      <c r="IF20" s="27" t="n"/>
      <c r="IG20" s="27" t="n"/>
      <c r="IH20" s="27" t="n"/>
      <c r="II20" s="27" t="n"/>
      <c r="IJ20" s="27" t="n"/>
      <c r="IK20" s="27" t="n"/>
      <c r="IL20" s="27" t="n"/>
      <c r="IM20" s="27" t="n"/>
      <c r="IN20" s="27" t="n"/>
      <c r="IO20" s="27" t="n"/>
      <c r="IP20" s="27" t="n"/>
      <c r="IQ20" s="27" t="n"/>
      <c r="IR20" s="27" t="n"/>
      <c r="IS20" s="27" t="n"/>
      <c r="IT20" s="27" t="n"/>
      <c r="IU20" s="27" t="n"/>
      <c r="IV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  <c r="AA21" s="27" t="n"/>
      <c r="AB21" s="27" t="n"/>
      <c r="AC21" s="27" t="n"/>
      <c r="AD21" s="27" t="n"/>
      <c r="AE21" s="27" t="n"/>
      <c r="AF21" s="27" t="n"/>
      <c r="AG21" s="27" t="n"/>
      <c r="AH21" s="27" t="n"/>
      <c r="AI21" s="27" t="n"/>
      <c r="AJ21" s="27" t="n"/>
      <c r="AK21" s="27" t="n"/>
      <c r="AL21" s="27" t="n"/>
      <c r="AM21" s="27" t="n"/>
      <c r="AN21" s="27" t="n"/>
      <c r="AO21" s="27" t="n"/>
      <c r="AP21" s="27" t="n"/>
      <c r="AQ21" s="27" t="n"/>
      <c r="AR21" s="27" t="n"/>
      <c r="AS21" s="27" t="n"/>
      <c r="AT21" s="27" t="n"/>
      <c r="AU21" s="27" t="n"/>
      <c r="AV21" s="27" t="n"/>
      <c r="AW21" s="27" t="n"/>
      <c r="AX21" s="27" t="n"/>
      <c r="AY21" s="27" t="n"/>
      <c r="AZ21" s="27" t="n"/>
      <c r="BA21" s="27" t="n"/>
      <c r="BB21" s="27" t="n"/>
      <c r="BC21" s="27" t="n"/>
      <c r="BD21" s="27" t="n"/>
      <c r="BE21" s="27" t="n"/>
      <c r="BF21" s="27" t="n"/>
      <c r="BG21" s="27" t="n"/>
      <c r="BH21" s="27" t="n"/>
      <c r="BI21" s="27" t="n"/>
      <c r="BJ21" s="27" t="n"/>
      <c r="BK21" s="27" t="n"/>
      <c r="BL21" s="27" t="n"/>
      <c r="BM21" s="27" t="n"/>
      <c r="BN21" s="27" t="n"/>
      <c r="BO21" s="27" t="n"/>
      <c r="BP21" s="27" t="n"/>
      <c r="BQ21" s="27" t="n"/>
      <c r="BR21" s="27" t="n"/>
      <c r="BS21" s="27" t="n"/>
      <c r="BT21" s="27" t="n"/>
      <c r="BU21" s="27" t="n"/>
      <c r="BV21" s="27" t="n"/>
      <c r="BW21" s="27" t="n"/>
      <c r="BX21" s="27" t="n"/>
      <c r="BY21" s="27" t="n"/>
      <c r="BZ21" s="27" t="n"/>
      <c r="CA21" s="27" t="n"/>
      <c r="CB21" s="27" t="n"/>
      <c r="CC21" s="27" t="n"/>
      <c r="CD21" s="27" t="n"/>
      <c r="CE21" s="27" t="n"/>
      <c r="CF21" s="27" t="n"/>
      <c r="CG21" s="27" t="n"/>
      <c r="CH21" s="27" t="n"/>
      <c r="CI21" s="27" t="n"/>
      <c r="CJ21" s="27" t="n"/>
      <c r="CK21" s="27" t="n"/>
      <c r="CL21" s="27" t="n"/>
      <c r="CM21" s="27" t="n"/>
      <c r="CN21" s="27" t="n"/>
      <c r="CO21" s="27" t="n"/>
      <c r="CP21" s="27" t="n"/>
      <c r="CQ21" s="27" t="n"/>
      <c r="CR21" s="27" t="n"/>
      <c r="CS21" s="27" t="n"/>
      <c r="CT21" s="27" t="n"/>
      <c r="CU21" s="27" t="n"/>
      <c r="CV21" s="27" t="n"/>
      <c r="CW21" s="27" t="n"/>
      <c r="CX21" s="27" t="n"/>
      <c r="CY21" s="27" t="n"/>
      <c r="CZ21" s="27" t="n"/>
      <c r="DA21" s="27" t="n"/>
      <c r="DB21" s="27" t="n"/>
      <c r="DC21" s="27" t="n"/>
      <c r="DD21" s="27" t="n"/>
      <c r="DE21" s="27" t="n"/>
      <c r="DF21" s="27" t="n"/>
      <c r="DG21" s="27" t="n"/>
      <c r="DH21" s="27" t="n"/>
      <c r="DI21" s="27" t="n"/>
      <c r="DJ21" s="27" t="n"/>
      <c r="DK21" s="27" t="n"/>
      <c r="DL21" s="27" t="n"/>
      <c r="DM21" s="27" t="n"/>
      <c r="DN21" s="27" t="n"/>
      <c r="DO21" s="27" t="n"/>
      <c r="DP21" s="27" t="n"/>
      <c r="DQ21" s="27" t="n"/>
      <c r="DR21" s="27" t="n"/>
      <c r="DS21" s="27" t="n"/>
      <c r="DT21" s="27" t="n"/>
      <c r="DU21" s="27" t="n"/>
      <c r="DV21" s="27" t="n"/>
      <c r="DW21" s="27" t="n"/>
      <c r="DX21" s="27" t="n"/>
      <c r="DY21" s="27" t="n"/>
      <c r="DZ21" s="27" t="n"/>
      <c r="EA21" s="27" t="n"/>
      <c r="EB21" s="27" t="n"/>
      <c r="EC21" s="27" t="n"/>
      <c r="ED21" s="27" t="n"/>
      <c r="EE21" s="27" t="n"/>
      <c r="EF21" s="27" t="n"/>
      <c r="EG21" s="27" t="n"/>
      <c r="EH21" s="27" t="n"/>
      <c r="EI21" s="27" t="n"/>
      <c r="EJ21" s="27" t="n"/>
      <c r="EK21" s="27" t="n"/>
      <c r="EL21" s="27" t="n"/>
      <c r="EM21" s="27" t="n"/>
      <c r="EN21" s="27" t="n"/>
      <c r="EO21" s="27" t="n"/>
      <c r="EP21" s="27" t="n"/>
      <c r="EQ21" s="27" t="n"/>
      <c r="ER21" s="27" t="n"/>
      <c r="ES21" s="27" t="n"/>
      <c r="ET21" s="27" t="n"/>
      <c r="EU21" s="27" t="n"/>
      <c r="EV21" s="27" t="n"/>
      <c r="EW21" s="27" t="n"/>
      <c r="EX21" s="27" t="n"/>
      <c r="EY21" s="27" t="n"/>
      <c r="EZ21" s="27" t="n"/>
      <c r="FA21" s="27" t="n"/>
      <c r="FB21" s="27" t="n"/>
      <c r="FC21" s="27" t="n"/>
      <c r="FD21" s="27" t="n"/>
      <c r="FE21" s="27" t="n"/>
      <c r="FF21" s="27" t="n"/>
      <c r="FG21" s="27" t="n"/>
      <c r="FH21" s="27" t="n"/>
      <c r="FI21" s="27" t="n"/>
      <c r="FJ21" s="27" t="n"/>
      <c r="FK21" s="27" t="n"/>
      <c r="FL21" s="27" t="n"/>
      <c r="FM21" s="27" t="n"/>
      <c r="FN21" s="27" t="n"/>
      <c r="FO21" s="27" t="n"/>
      <c r="FP21" s="27" t="n"/>
      <c r="FQ21" s="27" t="n"/>
      <c r="FR21" s="27" t="n"/>
      <c r="FS21" s="27" t="n"/>
      <c r="FT21" s="27" t="n"/>
      <c r="FU21" s="27" t="n"/>
      <c r="FV21" s="27" t="n"/>
      <c r="FW21" s="27" t="n"/>
      <c r="FX21" s="27" t="n"/>
      <c r="FY21" s="27" t="n"/>
      <c r="FZ21" s="27" t="n"/>
      <c r="GA21" s="27" t="n"/>
      <c r="GB21" s="27" t="n"/>
      <c r="GC21" s="27" t="n"/>
      <c r="GD21" s="27" t="n"/>
      <c r="GE21" s="27" t="n"/>
      <c r="GF21" s="27" t="n"/>
      <c r="GG21" s="27" t="n"/>
      <c r="GH21" s="27" t="n"/>
      <c r="GI21" s="27" t="n"/>
      <c r="GJ21" s="27" t="n"/>
      <c r="GK21" s="27" t="n"/>
      <c r="GL21" s="27" t="n"/>
      <c r="GM21" s="27" t="n"/>
      <c r="GN21" s="27" t="n"/>
      <c r="GO21" s="27" t="n"/>
      <c r="GP21" s="27" t="n"/>
      <c r="GQ21" s="27" t="n"/>
      <c r="GR21" s="27" t="n"/>
      <c r="GS21" s="27" t="n"/>
      <c r="GT21" s="27" t="n"/>
      <c r="GU21" s="27" t="n"/>
      <c r="GV21" s="27" t="n"/>
      <c r="GW21" s="27" t="n"/>
      <c r="GX21" s="27" t="n"/>
      <c r="GY21" s="27" t="n"/>
      <c r="GZ21" s="27" t="n"/>
      <c r="HA21" s="27" t="n"/>
      <c r="HB21" s="27" t="n"/>
      <c r="HC21" s="27" t="n"/>
      <c r="HD21" s="27" t="n"/>
      <c r="HE21" s="27" t="n"/>
      <c r="HF21" s="27" t="n"/>
      <c r="HG21" s="27" t="n"/>
      <c r="HH21" s="27" t="n"/>
      <c r="HI21" s="27" t="n"/>
      <c r="HJ21" s="27" t="n"/>
      <c r="HK21" s="27" t="n"/>
      <c r="HL21" s="27" t="n"/>
      <c r="HM21" s="27" t="n"/>
      <c r="HN21" s="27" t="n"/>
      <c r="HO21" s="27" t="n"/>
      <c r="HP21" s="27" t="n"/>
      <c r="HQ21" s="27" t="n"/>
      <c r="HR21" s="27" t="n"/>
      <c r="HS21" s="27" t="n"/>
      <c r="HT21" s="27" t="n"/>
      <c r="HU21" s="27" t="n"/>
      <c r="HV21" s="27" t="n"/>
      <c r="HW21" s="27" t="n"/>
      <c r="HX21" s="27" t="n"/>
      <c r="HY21" s="27" t="n"/>
      <c r="HZ21" s="27" t="n"/>
      <c r="IA21" s="27" t="n"/>
      <c r="IB21" s="27" t="n"/>
      <c r="IC21" s="27" t="n"/>
      <c r="ID21" s="27" t="n"/>
      <c r="IE21" s="27" t="n"/>
      <c r="IF21" s="27" t="n"/>
      <c r="IG21" s="27" t="n"/>
      <c r="IH21" s="27" t="n"/>
      <c r="II21" s="27" t="n"/>
      <c r="IJ21" s="27" t="n"/>
      <c r="IK21" s="27" t="n"/>
      <c r="IL21" s="27" t="n"/>
      <c r="IM21" s="27" t="n"/>
      <c r="IN21" s="27" t="n"/>
      <c r="IO21" s="27" t="n"/>
      <c r="IP21" s="27" t="n"/>
      <c r="IQ21" s="27" t="n"/>
      <c r="IR21" s="27" t="n"/>
      <c r="IS21" s="27" t="n"/>
      <c r="IT21" s="27" t="n"/>
      <c r="IU21" s="27" t="n"/>
      <c r="IV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  <c r="AA22" s="27" t="n"/>
      <c r="AB22" s="27" t="n"/>
      <c r="AC22" s="27" t="n"/>
      <c r="AD22" s="27" t="n"/>
      <c r="AE22" s="27" t="n"/>
      <c r="AF22" s="27" t="n"/>
      <c r="AG22" s="27" t="n"/>
      <c r="AH22" s="27" t="n"/>
      <c r="AI22" s="27" t="n"/>
      <c r="AJ22" s="27" t="n"/>
      <c r="AK22" s="27" t="n"/>
      <c r="AL22" s="27" t="n"/>
      <c r="AM22" s="27" t="n"/>
      <c r="AN22" s="27" t="n"/>
      <c r="AO22" s="27" t="n"/>
      <c r="AP22" s="27" t="n"/>
      <c r="AQ22" s="27" t="n"/>
      <c r="AR22" s="27" t="n"/>
      <c r="AS22" s="27" t="n"/>
      <c r="AT22" s="27" t="n"/>
      <c r="AU22" s="27" t="n"/>
      <c r="AV22" s="27" t="n"/>
      <c r="AW22" s="27" t="n"/>
      <c r="AX22" s="27" t="n"/>
      <c r="AY22" s="27" t="n"/>
      <c r="AZ22" s="27" t="n"/>
      <c r="BA22" s="27" t="n"/>
      <c r="BB22" s="27" t="n"/>
      <c r="BC22" s="27" t="n"/>
      <c r="BD22" s="27" t="n"/>
      <c r="BE22" s="27" t="n"/>
      <c r="BF22" s="27" t="n"/>
      <c r="BG22" s="27" t="n"/>
      <c r="BH22" s="27" t="n"/>
      <c r="BI22" s="27" t="n"/>
      <c r="BJ22" s="27" t="n"/>
      <c r="BK22" s="27" t="n"/>
      <c r="BL22" s="27" t="n"/>
      <c r="BM22" s="27" t="n"/>
      <c r="BN22" s="27" t="n"/>
      <c r="BO22" s="27" t="n"/>
      <c r="BP22" s="27" t="n"/>
      <c r="BQ22" s="27" t="n"/>
      <c r="BR22" s="27" t="n"/>
      <c r="BS22" s="27" t="n"/>
      <c r="BT22" s="27" t="n"/>
      <c r="BU22" s="27" t="n"/>
      <c r="BV22" s="27" t="n"/>
      <c r="BW22" s="27" t="n"/>
      <c r="BX22" s="27" t="n"/>
      <c r="BY22" s="27" t="n"/>
      <c r="BZ22" s="27" t="n"/>
      <c r="CA22" s="27" t="n"/>
      <c r="CB22" s="27" t="n"/>
      <c r="CC22" s="27" t="n"/>
      <c r="CD22" s="27" t="n"/>
      <c r="CE22" s="27" t="n"/>
      <c r="CF22" s="27" t="n"/>
      <c r="CG22" s="27" t="n"/>
      <c r="CH22" s="27" t="n"/>
      <c r="CI22" s="27" t="n"/>
      <c r="CJ22" s="27" t="n"/>
      <c r="CK22" s="27" t="n"/>
      <c r="CL22" s="27" t="n"/>
      <c r="CM22" s="27" t="n"/>
      <c r="CN22" s="27" t="n"/>
      <c r="CO22" s="27" t="n"/>
      <c r="CP22" s="27" t="n"/>
      <c r="CQ22" s="27" t="n"/>
      <c r="CR22" s="27" t="n"/>
      <c r="CS22" s="27" t="n"/>
      <c r="CT22" s="27" t="n"/>
      <c r="CU22" s="27" t="n"/>
      <c r="CV22" s="27" t="n"/>
      <c r="CW22" s="27" t="n"/>
      <c r="CX22" s="27" t="n"/>
      <c r="CY22" s="27" t="n"/>
      <c r="CZ22" s="27" t="n"/>
      <c r="DA22" s="27" t="n"/>
      <c r="DB22" s="27" t="n"/>
      <c r="DC22" s="27" t="n"/>
      <c r="DD22" s="27" t="n"/>
      <c r="DE22" s="27" t="n"/>
      <c r="DF22" s="27" t="n"/>
      <c r="DG22" s="27" t="n"/>
      <c r="DH22" s="27" t="n"/>
      <c r="DI22" s="27" t="n"/>
      <c r="DJ22" s="27" t="n"/>
      <c r="DK22" s="27" t="n"/>
      <c r="DL22" s="27" t="n"/>
      <c r="DM22" s="27" t="n"/>
      <c r="DN22" s="27" t="n"/>
      <c r="DO22" s="27" t="n"/>
      <c r="DP22" s="27" t="n"/>
      <c r="DQ22" s="27" t="n"/>
      <c r="DR22" s="27" t="n"/>
      <c r="DS22" s="27" t="n"/>
      <c r="DT22" s="27" t="n"/>
      <c r="DU22" s="27" t="n"/>
      <c r="DV22" s="27" t="n"/>
      <c r="DW22" s="27" t="n"/>
      <c r="DX22" s="27" t="n"/>
      <c r="DY22" s="27" t="n"/>
      <c r="DZ22" s="27" t="n"/>
      <c r="EA22" s="27" t="n"/>
      <c r="EB22" s="27" t="n"/>
      <c r="EC22" s="27" t="n"/>
      <c r="ED22" s="27" t="n"/>
      <c r="EE22" s="27" t="n"/>
      <c r="EF22" s="27" t="n"/>
      <c r="EG22" s="27" t="n"/>
      <c r="EH22" s="27" t="n"/>
      <c r="EI22" s="27" t="n"/>
      <c r="EJ22" s="27" t="n"/>
      <c r="EK22" s="27" t="n"/>
      <c r="EL22" s="27" t="n"/>
      <c r="EM22" s="27" t="n"/>
      <c r="EN22" s="27" t="n"/>
      <c r="EO22" s="27" t="n"/>
      <c r="EP22" s="27" t="n"/>
      <c r="EQ22" s="27" t="n"/>
      <c r="ER22" s="27" t="n"/>
      <c r="ES22" s="27" t="n"/>
      <c r="ET22" s="27" t="n"/>
      <c r="EU22" s="27" t="n"/>
      <c r="EV22" s="27" t="n"/>
      <c r="EW22" s="27" t="n"/>
      <c r="EX22" s="27" t="n"/>
      <c r="EY22" s="27" t="n"/>
      <c r="EZ22" s="27" t="n"/>
      <c r="FA22" s="27" t="n"/>
      <c r="FB22" s="27" t="n"/>
      <c r="FC22" s="27" t="n"/>
      <c r="FD22" s="27" t="n"/>
      <c r="FE22" s="27" t="n"/>
      <c r="FF22" s="27" t="n"/>
      <c r="FG22" s="27" t="n"/>
      <c r="FH22" s="27" t="n"/>
      <c r="FI22" s="27" t="n"/>
      <c r="FJ22" s="27" t="n"/>
      <c r="FK22" s="27" t="n"/>
      <c r="FL22" s="27" t="n"/>
      <c r="FM22" s="27" t="n"/>
      <c r="FN22" s="27" t="n"/>
      <c r="FO22" s="27" t="n"/>
      <c r="FP22" s="27" t="n"/>
      <c r="FQ22" s="27" t="n"/>
      <c r="FR22" s="27" t="n"/>
      <c r="FS22" s="27" t="n"/>
      <c r="FT22" s="27" t="n"/>
      <c r="FU22" s="27" t="n"/>
      <c r="FV22" s="27" t="n"/>
      <c r="FW22" s="27" t="n"/>
      <c r="FX22" s="27" t="n"/>
      <c r="FY22" s="27" t="n"/>
      <c r="FZ22" s="27" t="n"/>
      <c r="GA22" s="27" t="n"/>
      <c r="GB22" s="27" t="n"/>
      <c r="GC22" s="27" t="n"/>
      <c r="GD22" s="27" t="n"/>
      <c r="GE22" s="27" t="n"/>
      <c r="GF22" s="27" t="n"/>
      <c r="GG22" s="27" t="n"/>
      <c r="GH22" s="27" t="n"/>
      <c r="GI22" s="27" t="n"/>
      <c r="GJ22" s="27" t="n"/>
      <c r="GK22" s="27" t="n"/>
      <c r="GL22" s="27" t="n"/>
      <c r="GM22" s="27" t="n"/>
      <c r="GN22" s="27" t="n"/>
      <c r="GO22" s="27" t="n"/>
      <c r="GP22" s="27" t="n"/>
      <c r="GQ22" s="27" t="n"/>
      <c r="GR22" s="27" t="n"/>
      <c r="GS22" s="27" t="n"/>
      <c r="GT22" s="27" t="n"/>
      <c r="GU22" s="27" t="n"/>
      <c r="GV22" s="27" t="n"/>
      <c r="GW22" s="27" t="n"/>
      <c r="GX22" s="27" t="n"/>
      <c r="GY22" s="27" t="n"/>
      <c r="GZ22" s="27" t="n"/>
      <c r="HA22" s="27" t="n"/>
      <c r="HB22" s="27" t="n"/>
      <c r="HC22" s="27" t="n"/>
      <c r="HD22" s="27" t="n"/>
      <c r="HE22" s="27" t="n"/>
      <c r="HF22" s="27" t="n"/>
      <c r="HG22" s="27" t="n"/>
      <c r="HH22" s="27" t="n"/>
      <c r="HI22" s="27" t="n"/>
      <c r="HJ22" s="27" t="n"/>
      <c r="HK22" s="27" t="n"/>
      <c r="HL22" s="27" t="n"/>
      <c r="HM22" s="27" t="n"/>
      <c r="HN22" s="27" t="n"/>
      <c r="HO22" s="27" t="n"/>
      <c r="HP22" s="27" t="n"/>
      <c r="HQ22" s="27" t="n"/>
      <c r="HR22" s="27" t="n"/>
      <c r="HS22" s="27" t="n"/>
      <c r="HT22" s="27" t="n"/>
      <c r="HU22" s="27" t="n"/>
      <c r="HV22" s="27" t="n"/>
      <c r="HW22" s="27" t="n"/>
      <c r="HX22" s="27" t="n"/>
      <c r="HY22" s="27" t="n"/>
      <c r="HZ22" s="27" t="n"/>
      <c r="IA22" s="27" t="n"/>
      <c r="IB22" s="27" t="n"/>
      <c r="IC22" s="27" t="n"/>
      <c r="ID22" s="27" t="n"/>
      <c r="IE22" s="27" t="n"/>
      <c r="IF22" s="27" t="n"/>
      <c r="IG22" s="27" t="n"/>
      <c r="IH22" s="27" t="n"/>
      <c r="II22" s="27" t="n"/>
      <c r="IJ22" s="27" t="n"/>
      <c r="IK22" s="27" t="n"/>
      <c r="IL22" s="27" t="n"/>
      <c r="IM22" s="27" t="n"/>
      <c r="IN22" s="27" t="n"/>
      <c r="IO22" s="27" t="n"/>
      <c r="IP22" s="27" t="n"/>
      <c r="IQ22" s="27" t="n"/>
      <c r="IR22" s="27" t="n"/>
      <c r="IS22" s="27" t="n"/>
      <c r="IT22" s="27" t="n"/>
      <c r="IU22" s="27" t="n"/>
      <c r="IV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  <c r="AA23" s="27" t="n"/>
      <c r="AB23" s="27" t="n"/>
      <c r="AC23" s="27" t="n"/>
      <c r="AD23" s="27" t="n"/>
      <c r="AE23" s="27" t="n"/>
      <c r="AF23" s="27" t="n"/>
      <c r="AG23" s="27" t="n"/>
      <c r="AH23" s="27" t="n"/>
      <c r="AI23" s="27" t="n"/>
      <c r="AJ23" s="27" t="n"/>
      <c r="AK23" s="27" t="n"/>
      <c r="AL23" s="27" t="n"/>
      <c r="AM23" s="27" t="n"/>
      <c r="AN23" s="27" t="n"/>
      <c r="AO23" s="27" t="n"/>
      <c r="AP23" s="27" t="n"/>
      <c r="AQ23" s="27" t="n"/>
      <c r="AR23" s="27" t="n"/>
      <c r="AS23" s="27" t="n"/>
      <c r="AT23" s="27" t="n"/>
      <c r="AU23" s="27" t="n"/>
      <c r="AV23" s="27" t="n"/>
      <c r="AW23" s="27" t="n"/>
      <c r="AX23" s="27" t="n"/>
      <c r="AY23" s="27" t="n"/>
      <c r="AZ23" s="27" t="n"/>
      <c r="BA23" s="27" t="n"/>
      <c r="BB23" s="27" t="n"/>
      <c r="BC23" s="27" t="n"/>
      <c r="BD23" s="27" t="n"/>
      <c r="BE23" s="27" t="n"/>
      <c r="BF23" s="27" t="n"/>
      <c r="BG23" s="27" t="n"/>
      <c r="BH23" s="27" t="n"/>
      <c r="BI23" s="27" t="n"/>
      <c r="BJ23" s="27" t="n"/>
      <c r="BK23" s="27" t="n"/>
      <c r="BL23" s="27" t="n"/>
      <c r="BM23" s="27" t="n"/>
      <c r="BN23" s="27" t="n"/>
      <c r="BO23" s="27" t="n"/>
      <c r="BP23" s="27" t="n"/>
      <c r="BQ23" s="27" t="n"/>
      <c r="BR23" s="27" t="n"/>
      <c r="BS23" s="27" t="n"/>
      <c r="BT23" s="27" t="n"/>
      <c r="BU23" s="27" t="n"/>
      <c r="BV23" s="27" t="n"/>
      <c r="BW23" s="27" t="n"/>
      <c r="BX23" s="27" t="n"/>
      <c r="BY23" s="27" t="n"/>
      <c r="BZ23" s="27" t="n"/>
      <c r="CA23" s="27" t="n"/>
      <c r="CB23" s="27" t="n"/>
      <c r="CC23" s="27" t="n"/>
      <c r="CD23" s="27" t="n"/>
      <c r="CE23" s="27" t="n"/>
      <c r="CF23" s="27" t="n"/>
      <c r="CG23" s="27" t="n"/>
      <c r="CH23" s="27" t="n"/>
      <c r="CI23" s="27" t="n"/>
      <c r="CJ23" s="27" t="n"/>
      <c r="CK23" s="27" t="n"/>
      <c r="CL23" s="27" t="n"/>
      <c r="CM23" s="27" t="n"/>
      <c r="CN23" s="27" t="n"/>
      <c r="CO23" s="27" t="n"/>
      <c r="CP23" s="27" t="n"/>
      <c r="CQ23" s="27" t="n"/>
      <c r="CR23" s="27" t="n"/>
      <c r="CS23" s="27" t="n"/>
      <c r="CT23" s="27" t="n"/>
      <c r="CU23" s="27" t="n"/>
      <c r="CV23" s="27" t="n"/>
      <c r="CW23" s="27" t="n"/>
      <c r="CX23" s="27" t="n"/>
      <c r="CY23" s="27" t="n"/>
      <c r="CZ23" s="27" t="n"/>
      <c r="DA23" s="27" t="n"/>
      <c r="DB23" s="27" t="n"/>
      <c r="DC23" s="27" t="n"/>
      <c r="DD23" s="27" t="n"/>
      <c r="DE23" s="27" t="n"/>
      <c r="DF23" s="27" t="n"/>
      <c r="DG23" s="27" t="n"/>
      <c r="DH23" s="27" t="n"/>
      <c r="DI23" s="27" t="n"/>
      <c r="DJ23" s="27" t="n"/>
      <c r="DK23" s="27" t="n"/>
      <c r="DL23" s="27" t="n"/>
      <c r="DM23" s="27" t="n"/>
      <c r="DN23" s="27" t="n"/>
      <c r="DO23" s="27" t="n"/>
      <c r="DP23" s="27" t="n"/>
      <c r="DQ23" s="27" t="n"/>
      <c r="DR23" s="27" t="n"/>
      <c r="DS23" s="27" t="n"/>
      <c r="DT23" s="27" t="n"/>
      <c r="DU23" s="27" t="n"/>
      <c r="DV23" s="27" t="n"/>
      <c r="DW23" s="27" t="n"/>
      <c r="DX23" s="27" t="n"/>
      <c r="DY23" s="27" t="n"/>
      <c r="DZ23" s="27" t="n"/>
      <c r="EA23" s="27" t="n"/>
      <c r="EB23" s="27" t="n"/>
      <c r="EC23" s="27" t="n"/>
      <c r="ED23" s="27" t="n"/>
      <c r="EE23" s="27" t="n"/>
      <c r="EF23" s="27" t="n"/>
      <c r="EG23" s="27" t="n"/>
      <c r="EH23" s="27" t="n"/>
      <c r="EI23" s="27" t="n"/>
      <c r="EJ23" s="27" t="n"/>
      <c r="EK23" s="27" t="n"/>
      <c r="EL23" s="27" t="n"/>
      <c r="EM23" s="27" t="n"/>
      <c r="EN23" s="27" t="n"/>
      <c r="EO23" s="27" t="n"/>
      <c r="EP23" s="27" t="n"/>
      <c r="EQ23" s="27" t="n"/>
      <c r="ER23" s="27" t="n"/>
      <c r="ES23" s="27" t="n"/>
      <c r="ET23" s="27" t="n"/>
      <c r="EU23" s="27" t="n"/>
      <c r="EV23" s="27" t="n"/>
      <c r="EW23" s="27" t="n"/>
      <c r="EX23" s="27" t="n"/>
      <c r="EY23" s="27" t="n"/>
      <c r="EZ23" s="27" t="n"/>
      <c r="FA23" s="27" t="n"/>
      <c r="FB23" s="27" t="n"/>
      <c r="FC23" s="27" t="n"/>
      <c r="FD23" s="27" t="n"/>
      <c r="FE23" s="27" t="n"/>
      <c r="FF23" s="27" t="n"/>
      <c r="FG23" s="27" t="n"/>
      <c r="FH23" s="27" t="n"/>
      <c r="FI23" s="27" t="n"/>
      <c r="FJ23" s="27" t="n"/>
      <c r="FK23" s="27" t="n"/>
      <c r="FL23" s="27" t="n"/>
      <c r="FM23" s="27" t="n"/>
      <c r="FN23" s="27" t="n"/>
      <c r="FO23" s="27" t="n"/>
      <c r="FP23" s="27" t="n"/>
      <c r="FQ23" s="27" t="n"/>
      <c r="FR23" s="27" t="n"/>
      <c r="FS23" s="27" t="n"/>
      <c r="FT23" s="27" t="n"/>
      <c r="FU23" s="27" t="n"/>
      <c r="FV23" s="27" t="n"/>
      <c r="FW23" s="27" t="n"/>
      <c r="FX23" s="27" t="n"/>
      <c r="FY23" s="27" t="n"/>
      <c r="FZ23" s="27" t="n"/>
      <c r="GA23" s="27" t="n"/>
      <c r="GB23" s="27" t="n"/>
      <c r="GC23" s="27" t="n"/>
      <c r="GD23" s="27" t="n"/>
      <c r="GE23" s="27" t="n"/>
      <c r="GF23" s="27" t="n"/>
      <c r="GG23" s="27" t="n"/>
      <c r="GH23" s="27" t="n"/>
      <c r="GI23" s="27" t="n"/>
      <c r="GJ23" s="27" t="n"/>
      <c r="GK23" s="27" t="n"/>
      <c r="GL23" s="27" t="n"/>
      <c r="GM23" s="27" t="n"/>
      <c r="GN23" s="27" t="n"/>
      <c r="GO23" s="27" t="n"/>
      <c r="GP23" s="27" t="n"/>
      <c r="GQ23" s="27" t="n"/>
      <c r="GR23" s="27" t="n"/>
      <c r="GS23" s="27" t="n"/>
      <c r="GT23" s="27" t="n"/>
      <c r="GU23" s="27" t="n"/>
      <c r="GV23" s="27" t="n"/>
      <c r="GW23" s="27" t="n"/>
      <c r="GX23" s="27" t="n"/>
      <c r="GY23" s="27" t="n"/>
      <c r="GZ23" s="27" t="n"/>
      <c r="HA23" s="27" t="n"/>
      <c r="HB23" s="27" t="n"/>
      <c r="HC23" s="27" t="n"/>
      <c r="HD23" s="27" t="n"/>
      <c r="HE23" s="27" t="n"/>
      <c r="HF23" s="27" t="n"/>
      <c r="HG23" s="27" t="n"/>
      <c r="HH23" s="27" t="n"/>
      <c r="HI23" s="27" t="n"/>
      <c r="HJ23" s="27" t="n"/>
      <c r="HK23" s="27" t="n"/>
      <c r="HL23" s="27" t="n"/>
      <c r="HM23" s="27" t="n"/>
      <c r="HN23" s="27" t="n"/>
      <c r="HO23" s="27" t="n"/>
      <c r="HP23" s="27" t="n"/>
      <c r="HQ23" s="27" t="n"/>
      <c r="HR23" s="27" t="n"/>
      <c r="HS23" s="27" t="n"/>
      <c r="HT23" s="27" t="n"/>
      <c r="HU23" s="27" t="n"/>
      <c r="HV23" s="27" t="n"/>
      <c r="HW23" s="27" t="n"/>
      <c r="HX23" s="27" t="n"/>
      <c r="HY23" s="27" t="n"/>
      <c r="HZ23" s="27" t="n"/>
      <c r="IA23" s="27" t="n"/>
      <c r="IB23" s="27" t="n"/>
      <c r="IC23" s="27" t="n"/>
      <c r="ID23" s="27" t="n"/>
      <c r="IE23" s="27" t="n"/>
      <c r="IF23" s="27" t="n"/>
      <c r="IG23" s="27" t="n"/>
      <c r="IH23" s="27" t="n"/>
      <c r="II23" s="27" t="n"/>
      <c r="IJ23" s="27" t="n"/>
      <c r="IK23" s="27" t="n"/>
      <c r="IL23" s="27" t="n"/>
      <c r="IM23" s="27" t="n"/>
      <c r="IN23" s="27" t="n"/>
      <c r="IO23" s="27" t="n"/>
      <c r="IP23" s="27" t="n"/>
      <c r="IQ23" s="27" t="n"/>
      <c r="IR23" s="27" t="n"/>
      <c r="IS23" s="27" t="n"/>
      <c r="IT23" s="27" t="n"/>
      <c r="IU23" s="27" t="n"/>
      <c r="IV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  <c r="AA24" s="27" t="n"/>
      <c r="AB24" s="27" t="n"/>
      <c r="AC24" s="27" t="n"/>
      <c r="AD24" s="27" t="n"/>
      <c r="AE24" s="27" t="n"/>
      <c r="AF24" s="27" t="n"/>
      <c r="AG24" s="27" t="n"/>
      <c r="AH24" s="27" t="n"/>
      <c r="AI24" s="27" t="n"/>
      <c r="AJ24" s="27" t="n"/>
      <c r="AK24" s="27" t="n"/>
      <c r="AL24" s="27" t="n"/>
      <c r="AM24" s="27" t="n"/>
      <c r="AN24" s="27" t="n"/>
      <c r="AO24" s="27" t="n"/>
      <c r="AP24" s="27" t="n"/>
      <c r="AQ24" s="27" t="n"/>
      <c r="AR24" s="27" t="n"/>
      <c r="AS24" s="27" t="n"/>
      <c r="AT24" s="27" t="n"/>
      <c r="AU24" s="27" t="n"/>
      <c r="AV24" s="27" t="n"/>
      <c r="AW24" s="27" t="n"/>
      <c r="AX24" s="27" t="n"/>
      <c r="AY24" s="27" t="n"/>
      <c r="AZ24" s="27" t="n"/>
      <c r="BA24" s="27" t="n"/>
      <c r="BB24" s="27" t="n"/>
      <c r="BC24" s="27" t="n"/>
      <c r="BD24" s="27" t="n"/>
      <c r="BE24" s="27" t="n"/>
      <c r="BF24" s="27" t="n"/>
      <c r="BG24" s="27" t="n"/>
      <c r="BH24" s="27" t="n"/>
      <c r="BI24" s="27" t="n"/>
      <c r="BJ24" s="27" t="n"/>
      <c r="BK24" s="27" t="n"/>
      <c r="BL24" s="27" t="n"/>
      <c r="BM24" s="27" t="n"/>
      <c r="BN24" s="27" t="n"/>
      <c r="BO24" s="27" t="n"/>
      <c r="BP24" s="27" t="n"/>
      <c r="BQ24" s="27" t="n"/>
      <c r="BR24" s="27" t="n"/>
      <c r="BS24" s="27" t="n"/>
      <c r="BT24" s="27" t="n"/>
      <c r="BU24" s="27" t="n"/>
      <c r="BV24" s="27" t="n"/>
      <c r="BW24" s="27" t="n"/>
      <c r="BX24" s="27" t="n"/>
      <c r="BY24" s="27" t="n"/>
      <c r="BZ24" s="27" t="n"/>
      <c r="CA24" s="27" t="n"/>
      <c r="CB24" s="27" t="n"/>
      <c r="CC24" s="27" t="n"/>
      <c r="CD24" s="27" t="n"/>
      <c r="CE24" s="27" t="n"/>
      <c r="CF24" s="27" t="n"/>
      <c r="CG24" s="27" t="n"/>
      <c r="CH24" s="27" t="n"/>
      <c r="CI24" s="27" t="n"/>
      <c r="CJ24" s="27" t="n"/>
      <c r="CK24" s="27" t="n"/>
      <c r="CL24" s="27" t="n"/>
      <c r="CM24" s="27" t="n"/>
      <c r="CN24" s="27" t="n"/>
      <c r="CO24" s="27" t="n"/>
      <c r="CP24" s="27" t="n"/>
      <c r="CQ24" s="27" t="n"/>
      <c r="CR24" s="27" t="n"/>
      <c r="CS24" s="27" t="n"/>
      <c r="CT24" s="27" t="n"/>
      <c r="CU24" s="27" t="n"/>
      <c r="CV24" s="27" t="n"/>
      <c r="CW24" s="27" t="n"/>
      <c r="CX24" s="27" t="n"/>
      <c r="CY24" s="27" t="n"/>
      <c r="CZ24" s="27" t="n"/>
      <c r="DA24" s="27" t="n"/>
      <c r="DB24" s="27" t="n"/>
      <c r="DC24" s="27" t="n"/>
      <c r="DD24" s="27" t="n"/>
      <c r="DE24" s="27" t="n"/>
      <c r="DF24" s="27" t="n"/>
      <c r="DG24" s="27" t="n"/>
      <c r="DH24" s="27" t="n"/>
      <c r="DI24" s="27" t="n"/>
      <c r="DJ24" s="27" t="n"/>
      <c r="DK24" s="27" t="n"/>
      <c r="DL24" s="27" t="n"/>
      <c r="DM24" s="27" t="n"/>
      <c r="DN24" s="27" t="n"/>
      <c r="DO24" s="27" t="n"/>
      <c r="DP24" s="27" t="n"/>
      <c r="DQ24" s="27" t="n"/>
      <c r="DR24" s="27" t="n"/>
      <c r="DS24" s="27" t="n"/>
      <c r="DT24" s="27" t="n"/>
      <c r="DU24" s="27" t="n"/>
      <c r="DV24" s="27" t="n"/>
      <c r="DW24" s="27" t="n"/>
      <c r="DX24" s="27" t="n"/>
      <c r="DY24" s="27" t="n"/>
      <c r="DZ24" s="27" t="n"/>
      <c r="EA24" s="27" t="n"/>
      <c r="EB24" s="27" t="n"/>
      <c r="EC24" s="27" t="n"/>
      <c r="ED24" s="27" t="n"/>
      <c r="EE24" s="27" t="n"/>
      <c r="EF24" s="27" t="n"/>
      <c r="EG24" s="27" t="n"/>
      <c r="EH24" s="27" t="n"/>
      <c r="EI24" s="27" t="n"/>
      <c r="EJ24" s="27" t="n"/>
      <c r="EK24" s="27" t="n"/>
      <c r="EL24" s="27" t="n"/>
      <c r="EM24" s="27" t="n"/>
      <c r="EN24" s="27" t="n"/>
      <c r="EO24" s="27" t="n"/>
      <c r="EP24" s="27" t="n"/>
      <c r="EQ24" s="27" t="n"/>
      <c r="ER24" s="27" t="n"/>
      <c r="ES24" s="27" t="n"/>
      <c r="ET24" s="27" t="n"/>
      <c r="EU24" s="27" t="n"/>
      <c r="EV24" s="27" t="n"/>
      <c r="EW24" s="27" t="n"/>
      <c r="EX24" s="27" t="n"/>
      <c r="EY24" s="27" t="n"/>
      <c r="EZ24" s="27" t="n"/>
      <c r="FA24" s="27" t="n"/>
      <c r="FB24" s="27" t="n"/>
      <c r="FC24" s="27" t="n"/>
      <c r="FD24" s="27" t="n"/>
      <c r="FE24" s="27" t="n"/>
      <c r="FF24" s="27" t="n"/>
      <c r="FG24" s="27" t="n"/>
      <c r="FH24" s="27" t="n"/>
      <c r="FI24" s="27" t="n"/>
      <c r="FJ24" s="27" t="n"/>
      <c r="FK24" s="27" t="n"/>
      <c r="FL24" s="27" t="n"/>
      <c r="FM24" s="27" t="n"/>
      <c r="FN24" s="27" t="n"/>
      <c r="FO24" s="27" t="n"/>
      <c r="FP24" s="27" t="n"/>
      <c r="FQ24" s="27" t="n"/>
      <c r="FR24" s="27" t="n"/>
      <c r="FS24" s="27" t="n"/>
      <c r="FT24" s="27" t="n"/>
      <c r="FU24" s="27" t="n"/>
      <c r="FV24" s="27" t="n"/>
      <c r="FW24" s="27" t="n"/>
      <c r="FX24" s="27" t="n"/>
      <c r="FY24" s="27" t="n"/>
      <c r="FZ24" s="27" t="n"/>
      <c r="GA24" s="27" t="n"/>
      <c r="GB24" s="27" t="n"/>
      <c r="GC24" s="27" t="n"/>
      <c r="GD24" s="27" t="n"/>
      <c r="GE24" s="27" t="n"/>
      <c r="GF24" s="27" t="n"/>
      <c r="GG24" s="27" t="n"/>
      <c r="GH24" s="27" t="n"/>
      <c r="GI24" s="27" t="n"/>
      <c r="GJ24" s="27" t="n"/>
      <c r="GK24" s="27" t="n"/>
      <c r="GL24" s="27" t="n"/>
      <c r="GM24" s="27" t="n"/>
      <c r="GN24" s="27" t="n"/>
      <c r="GO24" s="27" t="n"/>
      <c r="GP24" s="27" t="n"/>
      <c r="GQ24" s="27" t="n"/>
      <c r="GR24" s="27" t="n"/>
      <c r="GS24" s="27" t="n"/>
      <c r="GT24" s="27" t="n"/>
      <c r="GU24" s="27" t="n"/>
      <c r="GV24" s="27" t="n"/>
      <c r="GW24" s="27" t="n"/>
      <c r="GX24" s="27" t="n"/>
      <c r="GY24" s="27" t="n"/>
      <c r="GZ24" s="27" t="n"/>
      <c r="HA24" s="27" t="n"/>
      <c r="HB24" s="27" t="n"/>
      <c r="HC24" s="27" t="n"/>
      <c r="HD24" s="27" t="n"/>
      <c r="HE24" s="27" t="n"/>
      <c r="HF24" s="27" t="n"/>
      <c r="HG24" s="27" t="n"/>
      <c r="HH24" s="27" t="n"/>
      <c r="HI24" s="27" t="n"/>
      <c r="HJ24" s="27" t="n"/>
      <c r="HK24" s="27" t="n"/>
      <c r="HL24" s="27" t="n"/>
      <c r="HM24" s="27" t="n"/>
      <c r="HN24" s="27" t="n"/>
      <c r="HO24" s="27" t="n"/>
      <c r="HP24" s="27" t="n"/>
      <c r="HQ24" s="27" t="n"/>
      <c r="HR24" s="27" t="n"/>
      <c r="HS24" s="27" t="n"/>
      <c r="HT24" s="27" t="n"/>
      <c r="HU24" s="27" t="n"/>
      <c r="HV24" s="27" t="n"/>
      <c r="HW24" s="27" t="n"/>
      <c r="HX24" s="27" t="n"/>
      <c r="HY24" s="27" t="n"/>
      <c r="HZ24" s="27" t="n"/>
      <c r="IA24" s="27" t="n"/>
      <c r="IB24" s="27" t="n"/>
      <c r="IC24" s="27" t="n"/>
      <c r="ID24" s="27" t="n"/>
      <c r="IE24" s="27" t="n"/>
      <c r="IF24" s="27" t="n"/>
      <c r="IG24" s="27" t="n"/>
      <c r="IH24" s="27" t="n"/>
      <c r="II24" s="27" t="n"/>
      <c r="IJ24" s="27" t="n"/>
      <c r="IK24" s="27" t="n"/>
      <c r="IL24" s="27" t="n"/>
      <c r="IM24" s="27" t="n"/>
      <c r="IN24" s="27" t="n"/>
      <c r="IO24" s="27" t="n"/>
      <c r="IP24" s="27" t="n"/>
      <c r="IQ24" s="27" t="n"/>
      <c r="IR24" s="27" t="n"/>
      <c r="IS24" s="27" t="n"/>
      <c r="IT24" s="27" t="n"/>
      <c r="IU24" s="27" t="n"/>
      <c r="IV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  <c r="AA25" s="27" t="n"/>
      <c r="AB25" s="27" t="n"/>
      <c r="AC25" s="27" t="n"/>
      <c r="AD25" s="27" t="n"/>
      <c r="AE25" s="27" t="n"/>
      <c r="AF25" s="27" t="n"/>
      <c r="AG25" s="27" t="n"/>
      <c r="AH25" s="27" t="n"/>
      <c r="AI25" s="27" t="n"/>
      <c r="AJ25" s="27" t="n"/>
      <c r="AK25" s="27" t="n"/>
      <c r="AL25" s="27" t="n"/>
      <c r="AM25" s="27" t="n"/>
      <c r="AN25" s="27" t="n"/>
      <c r="AO25" s="27" t="n"/>
      <c r="AP25" s="27" t="n"/>
      <c r="AQ25" s="27" t="n"/>
      <c r="AR25" s="27" t="n"/>
      <c r="AS25" s="27" t="n"/>
      <c r="AT25" s="27" t="n"/>
      <c r="AU25" s="27" t="n"/>
      <c r="AV25" s="27" t="n"/>
      <c r="AW25" s="27" t="n"/>
      <c r="AX25" s="27" t="n"/>
      <c r="AY25" s="27" t="n"/>
      <c r="AZ25" s="27" t="n"/>
      <c r="BA25" s="27" t="n"/>
      <c r="BB25" s="27" t="n"/>
      <c r="BC25" s="27" t="n"/>
      <c r="BD25" s="27" t="n"/>
      <c r="BE25" s="27" t="n"/>
      <c r="BF25" s="27" t="n"/>
      <c r="BG25" s="27" t="n"/>
      <c r="BH25" s="27" t="n"/>
      <c r="BI25" s="27" t="n"/>
      <c r="BJ25" s="27" t="n"/>
      <c r="BK25" s="27" t="n"/>
      <c r="BL25" s="27" t="n"/>
      <c r="BM25" s="27" t="n"/>
      <c r="BN25" s="27" t="n"/>
      <c r="BO25" s="27" t="n"/>
      <c r="BP25" s="27" t="n"/>
      <c r="BQ25" s="27" t="n"/>
      <c r="BR25" s="27" t="n"/>
      <c r="BS25" s="27" t="n"/>
      <c r="BT25" s="27" t="n"/>
      <c r="BU25" s="27" t="n"/>
      <c r="BV25" s="27" t="n"/>
      <c r="BW25" s="27" t="n"/>
      <c r="BX25" s="27" t="n"/>
      <c r="BY25" s="27" t="n"/>
      <c r="BZ25" s="27" t="n"/>
      <c r="CA25" s="27" t="n"/>
      <c r="CB25" s="27" t="n"/>
      <c r="CC25" s="27" t="n"/>
      <c r="CD25" s="27" t="n"/>
      <c r="CE25" s="27" t="n"/>
      <c r="CF25" s="27" t="n"/>
      <c r="CG25" s="27" t="n"/>
      <c r="CH25" s="27" t="n"/>
      <c r="CI25" s="27" t="n"/>
      <c r="CJ25" s="27" t="n"/>
      <c r="CK25" s="27" t="n"/>
      <c r="CL25" s="27" t="n"/>
      <c r="CM25" s="27" t="n"/>
      <c r="CN25" s="27" t="n"/>
      <c r="CO25" s="27" t="n"/>
      <c r="CP25" s="27" t="n"/>
      <c r="CQ25" s="27" t="n"/>
      <c r="CR25" s="27" t="n"/>
      <c r="CS25" s="27" t="n"/>
      <c r="CT25" s="27" t="n"/>
      <c r="CU25" s="27" t="n"/>
      <c r="CV25" s="27" t="n"/>
      <c r="CW25" s="27" t="n"/>
      <c r="CX25" s="27" t="n"/>
      <c r="CY25" s="27" t="n"/>
      <c r="CZ25" s="27" t="n"/>
      <c r="DA25" s="27" t="n"/>
      <c r="DB25" s="27" t="n"/>
      <c r="DC25" s="27" t="n"/>
      <c r="DD25" s="27" t="n"/>
      <c r="DE25" s="27" t="n"/>
      <c r="DF25" s="27" t="n"/>
      <c r="DG25" s="27" t="n"/>
      <c r="DH25" s="27" t="n"/>
      <c r="DI25" s="27" t="n"/>
      <c r="DJ25" s="27" t="n"/>
      <c r="DK25" s="27" t="n"/>
      <c r="DL25" s="27" t="n"/>
      <c r="DM25" s="27" t="n"/>
      <c r="DN25" s="27" t="n"/>
      <c r="DO25" s="27" t="n"/>
      <c r="DP25" s="27" t="n"/>
      <c r="DQ25" s="27" t="n"/>
      <c r="DR25" s="27" t="n"/>
      <c r="DS25" s="27" t="n"/>
      <c r="DT25" s="27" t="n"/>
      <c r="DU25" s="27" t="n"/>
      <c r="DV25" s="27" t="n"/>
      <c r="DW25" s="27" t="n"/>
      <c r="DX25" s="27" t="n"/>
      <c r="DY25" s="27" t="n"/>
      <c r="DZ25" s="27" t="n"/>
      <c r="EA25" s="27" t="n"/>
      <c r="EB25" s="27" t="n"/>
      <c r="EC25" s="27" t="n"/>
      <c r="ED25" s="27" t="n"/>
      <c r="EE25" s="27" t="n"/>
      <c r="EF25" s="27" t="n"/>
      <c r="EG25" s="27" t="n"/>
      <c r="EH25" s="27" t="n"/>
      <c r="EI25" s="27" t="n"/>
      <c r="EJ25" s="27" t="n"/>
      <c r="EK25" s="27" t="n"/>
      <c r="EL25" s="27" t="n"/>
      <c r="EM25" s="27" t="n"/>
      <c r="EN25" s="27" t="n"/>
      <c r="EO25" s="27" t="n"/>
      <c r="EP25" s="27" t="n"/>
      <c r="EQ25" s="27" t="n"/>
      <c r="ER25" s="27" t="n"/>
      <c r="ES25" s="27" t="n"/>
      <c r="ET25" s="27" t="n"/>
      <c r="EU25" s="27" t="n"/>
      <c r="EV25" s="27" t="n"/>
      <c r="EW25" s="27" t="n"/>
      <c r="EX25" s="27" t="n"/>
      <c r="EY25" s="27" t="n"/>
      <c r="EZ25" s="27" t="n"/>
      <c r="FA25" s="27" t="n"/>
      <c r="FB25" s="27" t="n"/>
      <c r="FC25" s="27" t="n"/>
      <c r="FD25" s="27" t="n"/>
      <c r="FE25" s="27" t="n"/>
      <c r="FF25" s="27" t="n"/>
      <c r="FG25" s="27" t="n"/>
      <c r="FH25" s="27" t="n"/>
      <c r="FI25" s="27" t="n"/>
      <c r="FJ25" s="27" t="n"/>
      <c r="FK25" s="27" t="n"/>
      <c r="FL25" s="27" t="n"/>
      <c r="FM25" s="27" t="n"/>
      <c r="FN25" s="27" t="n"/>
      <c r="FO25" s="27" t="n"/>
      <c r="FP25" s="27" t="n"/>
      <c r="FQ25" s="27" t="n"/>
      <c r="FR25" s="27" t="n"/>
      <c r="FS25" s="27" t="n"/>
      <c r="FT25" s="27" t="n"/>
      <c r="FU25" s="27" t="n"/>
      <c r="FV25" s="27" t="n"/>
      <c r="FW25" s="27" t="n"/>
      <c r="FX25" s="27" t="n"/>
      <c r="FY25" s="27" t="n"/>
      <c r="FZ25" s="27" t="n"/>
      <c r="GA25" s="27" t="n"/>
      <c r="GB25" s="27" t="n"/>
      <c r="GC25" s="27" t="n"/>
      <c r="GD25" s="27" t="n"/>
      <c r="GE25" s="27" t="n"/>
      <c r="GF25" s="27" t="n"/>
      <c r="GG25" s="27" t="n"/>
      <c r="GH25" s="27" t="n"/>
      <c r="GI25" s="27" t="n"/>
      <c r="GJ25" s="27" t="n"/>
      <c r="GK25" s="27" t="n"/>
      <c r="GL25" s="27" t="n"/>
      <c r="GM25" s="27" t="n"/>
      <c r="GN25" s="27" t="n"/>
      <c r="GO25" s="27" t="n"/>
      <c r="GP25" s="27" t="n"/>
      <c r="GQ25" s="27" t="n"/>
      <c r="GR25" s="27" t="n"/>
      <c r="GS25" s="27" t="n"/>
      <c r="GT25" s="27" t="n"/>
      <c r="GU25" s="27" t="n"/>
      <c r="GV25" s="27" t="n"/>
      <c r="GW25" s="27" t="n"/>
      <c r="GX25" s="27" t="n"/>
      <c r="GY25" s="27" t="n"/>
      <c r="GZ25" s="27" t="n"/>
      <c r="HA25" s="27" t="n"/>
      <c r="HB25" s="27" t="n"/>
      <c r="HC25" s="27" t="n"/>
      <c r="HD25" s="27" t="n"/>
      <c r="HE25" s="27" t="n"/>
      <c r="HF25" s="27" t="n"/>
      <c r="HG25" s="27" t="n"/>
      <c r="HH25" s="27" t="n"/>
      <c r="HI25" s="27" t="n"/>
      <c r="HJ25" s="27" t="n"/>
      <c r="HK25" s="27" t="n"/>
      <c r="HL25" s="27" t="n"/>
      <c r="HM25" s="27" t="n"/>
      <c r="HN25" s="27" t="n"/>
      <c r="HO25" s="27" t="n"/>
      <c r="HP25" s="27" t="n"/>
      <c r="HQ25" s="27" t="n"/>
      <c r="HR25" s="27" t="n"/>
      <c r="HS25" s="27" t="n"/>
      <c r="HT25" s="27" t="n"/>
      <c r="HU25" s="27" t="n"/>
      <c r="HV25" s="27" t="n"/>
      <c r="HW25" s="27" t="n"/>
      <c r="HX25" s="27" t="n"/>
      <c r="HY25" s="27" t="n"/>
      <c r="HZ25" s="27" t="n"/>
      <c r="IA25" s="27" t="n"/>
      <c r="IB25" s="27" t="n"/>
      <c r="IC25" s="27" t="n"/>
      <c r="ID25" s="27" t="n"/>
      <c r="IE25" s="27" t="n"/>
      <c r="IF25" s="27" t="n"/>
      <c r="IG25" s="27" t="n"/>
      <c r="IH25" s="27" t="n"/>
      <c r="II25" s="27" t="n"/>
      <c r="IJ25" s="27" t="n"/>
      <c r="IK25" s="27" t="n"/>
      <c r="IL25" s="27" t="n"/>
      <c r="IM25" s="27" t="n"/>
      <c r="IN25" s="27" t="n"/>
      <c r="IO25" s="27" t="n"/>
      <c r="IP25" s="27" t="n"/>
      <c r="IQ25" s="27" t="n"/>
      <c r="IR25" s="27" t="n"/>
      <c r="IS25" s="27" t="n"/>
      <c r="IT25" s="27" t="n"/>
      <c r="IU25" s="27" t="n"/>
      <c r="IV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  <c r="AA26" s="27" t="n"/>
      <c r="AB26" s="27" t="n"/>
      <c r="AC26" s="27" t="n"/>
      <c r="AD26" s="27" t="n"/>
      <c r="AE26" s="27" t="n"/>
      <c r="AF26" s="27" t="n"/>
      <c r="AG26" s="27" t="n"/>
      <c r="AH26" s="27" t="n"/>
      <c r="AI26" s="27" t="n"/>
      <c r="AJ26" s="27" t="n"/>
      <c r="AK26" s="27" t="n"/>
      <c r="AL26" s="27" t="n"/>
      <c r="AM26" s="27" t="n"/>
      <c r="AN26" s="27" t="n"/>
      <c r="AO26" s="27" t="n"/>
      <c r="AP26" s="27" t="n"/>
      <c r="AQ26" s="27" t="n"/>
      <c r="AR26" s="27" t="n"/>
      <c r="AS26" s="27" t="n"/>
      <c r="AT26" s="27" t="n"/>
      <c r="AU26" s="27" t="n"/>
      <c r="AV26" s="27" t="n"/>
      <c r="AW26" s="27" t="n"/>
      <c r="AX26" s="27" t="n"/>
      <c r="AY26" s="27" t="n"/>
      <c r="AZ26" s="27" t="n"/>
      <c r="BA26" s="27" t="n"/>
      <c r="BB26" s="27" t="n"/>
      <c r="BC26" s="27" t="n"/>
      <c r="BD26" s="27" t="n"/>
      <c r="BE26" s="27" t="n"/>
      <c r="BF26" s="27" t="n"/>
      <c r="BG26" s="27" t="n"/>
      <c r="BH26" s="27" t="n"/>
      <c r="BI26" s="27" t="n"/>
      <c r="BJ26" s="27" t="n"/>
      <c r="BK26" s="27" t="n"/>
      <c r="BL26" s="27" t="n"/>
      <c r="BM26" s="27" t="n"/>
      <c r="BN26" s="27" t="n"/>
      <c r="BO26" s="27" t="n"/>
      <c r="BP26" s="27" t="n"/>
      <c r="BQ26" s="27" t="n"/>
      <c r="BR26" s="27" t="n"/>
      <c r="BS26" s="27" t="n"/>
      <c r="BT26" s="27" t="n"/>
      <c r="BU26" s="27" t="n"/>
      <c r="BV26" s="27" t="n"/>
      <c r="BW26" s="27" t="n"/>
      <c r="BX26" s="27" t="n"/>
      <c r="BY26" s="27" t="n"/>
      <c r="BZ26" s="27" t="n"/>
      <c r="CA26" s="27" t="n"/>
      <c r="CB26" s="27" t="n"/>
      <c r="CC26" s="27" t="n"/>
      <c r="CD26" s="27" t="n"/>
      <c r="CE26" s="27" t="n"/>
      <c r="CF26" s="27" t="n"/>
      <c r="CG26" s="27" t="n"/>
      <c r="CH26" s="27" t="n"/>
      <c r="CI26" s="27" t="n"/>
      <c r="CJ26" s="27" t="n"/>
      <c r="CK26" s="27" t="n"/>
      <c r="CL26" s="27" t="n"/>
      <c r="CM26" s="27" t="n"/>
      <c r="CN26" s="27" t="n"/>
      <c r="CO26" s="27" t="n"/>
      <c r="CP26" s="27" t="n"/>
      <c r="CQ26" s="27" t="n"/>
      <c r="CR26" s="27" t="n"/>
      <c r="CS26" s="27" t="n"/>
      <c r="CT26" s="27" t="n"/>
      <c r="CU26" s="27" t="n"/>
      <c r="CV26" s="27" t="n"/>
      <c r="CW26" s="27" t="n"/>
      <c r="CX26" s="27" t="n"/>
      <c r="CY26" s="27" t="n"/>
      <c r="CZ26" s="27" t="n"/>
      <c r="DA26" s="27" t="n"/>
      <c r="DB26" s="27" t="n"/>
      <c r="DC26" s="27" t="n"/>
      <c r="DD26" s="27" t="n"/>
      <c r="DE26" s="27" t="n"/>
      <c r="DF26" s="27" t="n"/>
      <c r="DG26" s="27" t="n"/>
      <c r="DH26" s="27" t="n"/>
      <c r="DI26" s="27" t="n"/>
      <c r="DJ26" s="27" t="n"/>
      <c r="DK26" s="27" t="n"/>
      <c r="DL26" s="27" t="n"/>
      <c r="DM26" s="27" t="n"/>
      <c r="DN26" s="27" t="n"/>
      <c r="DO26" s="27" t="n"/>
      <c r="DP26" s="27" t="n"/>
      <c r="DQ26" s="27" t="n"/>
      <c r="DR26" s="27" t="n"/>
      <c r="DS26" s="27" t="n"/>
      <c r="DT26" s="27" t="n"/>
      <c r="DU26" s="27" t="n"/>
      <c r="DV26" s="27" t="n"/>
      <c r="DW26" s="27" t="n"/>
      <c r="DX26" s="27" t="n"/>
      <c r="DY26" s="27" t="n"/>
      <c r="DZ26" s="27" t="n"/>
      <c r="EA26" s="27" t="n"/>
      <c r="EB26" s="27" t="n"/>
      <c r="EC26" s="27" t="n"/>
      <c r="ED26" s="27" t="n"/>
      <c r="EE26" s="27" t="n"/>
      <c r="EF26" s="27" t="n"/>
      <c r="EG26" s="27" t="n"/>
      <c r="EH26" s="27" t="n"/>
      <c r="EI26" s="27" t="n"/>
      <c r="EJ26" s="27" t="n"/>
      <c r="EK26" s="27" t="n"/>
      <c r="EL26" s="27" t="n"/>
      <c r="EM26" s="27" t="n"/>
      <c r="EN26" s="27" t="n"/>
      <c r="EO26" s="27" t="n"/>
      <c r="EP26" s="27" t="n"/>
      <c r="EQ26" s="27" t="n"/>
      <c r="ER26" s="27" t="n"/>
      <c r="ES26" s="27" t="n"/>
      <c r="ET26" s="27" t="n"/>
      <c r="EU26" s="27" t="n"/>
      <c r="EV26" s="27" t="n"/>
      <c r="EW26" s="27" t="n"/>
      <c r="EX26" s="27" t="n"/>
      <c r="EY26" s="27" t="n"/>
      <c r="EZ26" s="27" t="n"/>
      <c r="FA26" s="27" t="n"/>
      <c r="FB26" s="27" t="n"/>
      <c r="FC26" s="27" t="n"/>
      <c r="FD26" s="27" t="n"/>
      <c r="FE26" s="27" t="n"/>
      <c r="FF26" s="27" t="n"/>
      <c r="FG26" s="27" t="n"/>
      <c r="FH26" s="27" t="n"/>
      <c r="FI26" s="27" t="n"/>
      <c r="FJ26" s="27" t="n"/>
      <c r="FK26" s="27" t="n"/>
      <c r="FL26" s="27" t="n"/>
      <c r="FM26" s="27" t="n"/>
      <c r="FN26" s="27" t="n"/>
      <c r="FO26" s="27" t="n"/>
      <c r="FP26" s="27" t="n"/>
      <c r="FQ26" s="27" t="n"/>
      <c r="FR26" s="27" t="n"/>
      <c r="FS26" s="27" t="n"/>
      <c r="FT26" s="27" t="n"/>
      <c r="FU26" s="27" t="n"/>
      <c r="FV26" s="27" t="n"/>
      <c r="FW26" s="27" t="n"/>
      <c r="FX26" s="27" t="n"/>
      <c r="FY26" s="27" t="n"/>
      <c r="FZ26" s="27" t="n"/>
      <c r="GA26" s="27" t="n"/>
      <c r="GB26" s="27" t="n"/>
      <c r="GC26" s="27" t="n"/>
      <c r="GD26" s="27" t="n"/>
      <c r="GE26" s="27" t="n"/>
      <c r="GF26" s="27" t="n"/>
      <c r="GG26" s="27" t="n"/>
      <c r="GH26" s="27" t="n"/>
      <c r="GI26" s="27" t="n"/>
      <c r="GJ26" s="27" t="n"/>
      <c r="GK26" s="27" t="n"/>
      <c r="GL26" s="27" t="n"/>
      <c r="GM26" s="27" t="n"/>
      <c r="GN26" s="27" t="n"/>
      <c r="GO26" s="27" t="n"/>
      <c r="GP26" s="27" t="n"/>
      <c r="GQ26" s="27" t="n"/>
      <c r="GR26" s="27" t="n"/>
      <c r="GS26" s="27" t="n"/>
      <c r="GT26" s="27" t="n"/>
      <c r="GU26" s="27" t="n"/>
      <c r="GV26" s="27" t="n"/>
      <c r="GW26" s="27" t="n"/>
      <c r="GX26" s="27" t="n"/>
      <c r="GY26" s="27" t="n"/>
      <c r="GZ26" s="27" t="n"/>
      <c r="HA26" s="27" t="n"/>
      <c r="HB26" s="27" t="n"/>
      <c r="HC26" s="27" t="n"/>
      <c r="HD26" s="27" t="n"/>
      <c r="HE26" s="27" t="n"/>
      <c r="HF26" s="27" t="n"/>
      <c r="HG26" s="27" t="n"/>
      <c r="HH26" s="27" t="n"/>
      <c r="HI26" s="27" t="n"/>
      <c r="HJ26" s="27" t="n"/>
      <c r="HK26" s="27" t="n"/>
      <c r="HL26" s="27" t="n"/>
      <c r="HM26" s="27" t="n"/>
      <c r="HN26" s="27" t="n"/>
      <c r="HO26" s="27" t="n"/>
      <c r="HP26" s="27" t="n"/>
      <c r="HQ26" s="27" t="n"/>
      <c r="HR26" s="27" t="n"/>
      <c r="HS26" s="27" t="n"/>
      <c r="HT26" s="27" t="n"/>
      <c r="HU26" s="27" t="n"/>
      <c r="HV26" s="27" t="n"/>
      <c r="HW26" s="27" t="n"/>
      <c r="HX26" s="27" t="n"/>
      <c r="HY26" s="27" t="n"/>
      <c r="HZ26" s="27" t="n"/>
      <c r="IA26" s="27" t="n"/>
      <c r="IB26" s="27" t="n"/>
      <c r="IC26" s="27" t="n"/>
      <c r="ID26" s="27" t="n"/>
      <c r="IE26" s="27" t="n"/>
      <c r="IF26" s="27" t="n"/>
      <c r="IG26" s="27" t="n"/>
      <c r="IH26" s="27" t="n"/>
      <c r="II26" s="27" t="n"/>
      <c r="IJ26" s="27" t="n"/>
      <c r="IK26" s="27" t="n"/>
      <c r="IL26" s="27" t="n"/>
      <c r="IM26" s="27" t="n"/>
      <c r="IN26" s="27" t="n"/>
      <c r="IO26" s="27" t="n"/>
      <c r="IP26" s="27" t="n"/>
      <c r="IQ26" s="27" t="n"/>
      <c r="IR26" s="27" t="n"/>
      <c r="IS26" s="27" t="n"/>
      <c r="IT26" s="27" t="n"/>
      <c r="IU26" s="27" t="n"/>
      <c r="IV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  <c r="AA27" s="27" t="n"/>
      <c r="AB27" s="27" t="n"/>
      <c r="AC27" s="27" t="n"/>
      <c r="AD27" s="27" t="n"/>
      <c r="AE27" s="27" t="n"/>
      <c r="AF27" s="27" t="n"/>
      <c r="AG27" s="27" t="n"/>
      <c r="AH27" s="27" t="n"/>
      <c r="AI27" s="27" t="n"/>
      <c r="AJ27" s="27" t="n"/>
      <c r="AK27" s="27" t="n"/>
      <c r="AL27" s="27" t="n"/>
      <c r="AM27" s="27" t="n"/>
      <c r="AN27" s="27" t="n"/>
      <c r="AO27" s="27" t="n"/>
      <c r="AP27" s="27" t="n"/>
      <c r="AQ27" s="27" t="n"/>
      <c r="AR27" s="27" t="n"/>
      <c r="AS27" s="27" t="n"/>
      <c r="AT27" s="27" t="n"/>
      <c r="AU27" s="27" t="n"/>
      <c r="AV27" s="27" t="n"/>
      <c r="AW27" s="27" t="n"/>
      <c r="AX27" s="27" t="n"/>
      <c r="AY27" s="27" t="n"/>
      <c r="AZ27" s="27" t="n"/>
      <c r="BA27" s="27" t="n"/>
      <c r="BB27" s="27" t="n"/>
      <c r="BC27" s="27" t="n"/>
      <c r="BD27" s="27" t="n"/>
      <c r="BE27" s="27" t="n"/>
      <c r="BF27" s="27" t="n"/>
      <c r="BG27" s="27" t="n"/>
      <c r="BH27" s="27" t="n"/>
      <c r="BI27" s="27" t="n"/>
      <c r="BJ27" s="27" t="n"/>
      <c r="BK27" s="27" t="n"/>
      <c r="BL27" s="27" t="n"/>
      <c r="BM27" s="27" t="n"/>
      <c r="BN27" s="27" t="n"/>
      <c r="BO27" s="27" t="n"/>
      <c r="BP27" s="27" t="n"/>
      <c r="BQ27" s="27" t="n"/>
      <c r="BR27" s="27" t="n"/>
      <c r="BS27" s="27" t="n"/>
      <c r="BT27" s="27" t="n"/>
      <c r="BU27" s="27" t="n"/>
      <c r="BV27" s="27" t="n"/>
      <c r="BW27" s="27" t="n"/>
      <c r="BX27" s="27" t="n"/>
      <c r="BY27" s="27" t="n"/>
      <c r="BZ27" s="27" t="n"/>
      <c r="CA27" s="27" t="n"/>
      <c r="CB27" s="27" t="n"/>
      <c r="CC27" s="27" t="n"/>
      <c r="CD27" s="27" t="n"/>
      <c r="CE27" s="27" t="n"/>
      <c r="CF27" s="27" t="n"/>
      <c r="CG27" s="27" t="n"/>
      <c r="CH27" s="27" t="n"/>
      <c r="CI27" s="27" t="n"/>
      <c r="CJ27" s="27" t="n"/>
      <c r="CK27" s="27" t="n"/>
      <c r="CL27" s="27" t="n"/>
      <c r="CM27" s="27" t="n"/>
      <c r="CN27" s="27" t="n"/>
      <c r="CO27" s="27" t="n"/>
      <c r="CP27" s="27" t="n"/>
      <c r="CQ27" s="27" t="n"/>
      <c r="CR27" s="27" t="n"/>
      <c r="CS27" s="27" t="n"/>
      <c r="CT27" s="27" t="n"/>
      <c r="CU27" s="27" t="n"/>
      <c r="CV27" s="27" t="n"/>
      <c r="CW27" s="27" t="n"/>
      <c r="CX27" s="27" t="n"/>
      <c r="CY27" s="27" t="n"/>
      <c r="CZ27" s="27" t="n"/>
      <c r="DA27" s="27" t="n"/>
      <c r="DB27" s="27" t="n"/>
      <c r="DC27" s="27" t="n"/>
      <c r="DD27" s="27" t="n"/>
      <c r="DE27" s="27" t="n"/>
      <c r="DF27" s="27" t="n"/>
      <c r="DG27" s="27" t="n"/>
      <c r="DH27" s="27" t="n"/>
      <c r="DI27" s="27" t="n"/>
      <c r="DJ27" s="27" t="n"/>
      <c r="DK27" s="27" t="n"/>
      <c r="DL27" s="27" t="n"/>
      <c r="DM27" s="27" t="n"/>
      <c r="DN27" s="27" t="n"/>
      <c r="DO27" s="27" t="n"/>
      <c r="DP27" s="27" t="n"/>
      <c r="DQ27" s="27" t="n"/>
      <c r="DR27" s="27" t="n"/>
      <c r="DS27" s="27" t="n"/>
      <c r="DT27" s="27" t="n"/>
      <c r="DU27" s="27" t="n"/>
      <c r="DV27" s="27" t="n"/>
      <c r="DW27" s="27" t="n"/>
      <c r="DX27" s="27" t="n"/>
      <c r="DY27" s="27" t="n"/>
      <c r="DZ27" s="27" t="n"/>
      <c r="EA27" s="27" t="n"/>
      <c r="EB27" s="27" t="n"/>
      <c r="EC27" s="27" t="n"/>
      <c r="ED27" s="27" t="n"/>
      <c r="EE27" s="27" t="n"/>
      <c r="EF27" s="27" t="n"/>
      <c r="EG27" s="27" t="n"/>
      <c r="EH27" s="27" t="n"/>
      <c r="EI27" s="27" t="n"/>
      <c r="EJ27" s="27" t="n"/>
      <c r="EK27" s="27" t="n"/>
      <c r="EL27" s="27" t="n"/>
      <c r="EM27" s="27" t="n"/>
      <c r="EN27" s="27" t="n"/>
      <c r="EO27" s="27" t="n"/>
      <c r="EP27" s="27" t="n"/>
      <c r="EQ27" s="27" t="n"/>
      <c r="ER27" s="27" t="n"/>
      <c r="ES27" s="27" t="n"/>
      <c r="ET27" s="27" t="n"/>
      <c r="EU27" s="27" t="n"/>
      <c r="EV27" s="27" t="n"/>
      <c r="EW27" s="27" t="n"/>
      <c r="EX27" s="27" t="n"/>
      <c r="EY27" s="27" t="n"/>
      <c r="EZ27" s="27" t="n"/>
      <c r="FA27" s="27" t="n"/>
      <c r="FB27" s="27" t="n"/>
      <c r="FC27" s="27" t="n"/>
      <c r="FD27" s="27" t="n"/>
      <c r="FE27" s="27" t="n"/>
      <c r="FF27" s="27" t="n"/>
      <c r="FG27" s="27" t="n"/>
      <c r="FH27" s="27" t="n"/>
      <c r="FI27" s="27" t="n"/>
      <c r="FJ27" s="27" t="n"/>
      <c r="FK27" s="27" t="n"/>
      <c r="FL27" s="27" t="n"/>
      <c r="FM27" s="27" t="n"/>
      <c r="FN27" s="27" t="n"/>
      <c r="FO27" s="27" t="n"/>
      <c r="FP27" s="27" t="n"/>
      <c r="FQ27" s="27" t="n"/>
      <c r="FR27" s="27" t="n"/>
      <c r="FS27" s="27" t="n"/>
      <c r="FT27" s="27" t="n"/>
      <c r="FU27" s="27" t="n"/>
      <c r="FV27" s="27" t="n"/>
      <c r="FW27" s="27" t="n"/>
      <c r="FX27" s="27" t="n"/>
      <c r="FY27" s="27" t="n"/>
      <c r="FZ27" s="27" t="n"/>
      <c r="GA27" s="27" t="n"/>
      <c r="GB27" s="27" t="n"/>
      <c r="GC27" s="27" t="n"/>
      <c r="GD27" s="27" t="n"/>
      <c r="GE27" s="27" t="n"/>
      <c r="GF27" s="27" t="n"/>
      <c r="GG27" s="27" t="n"/>
      <c r="GH27" s="27" t="n"/>
      <c r="GI27" s="27" t="n"/>
      <c r="GJ27" s="27" t="n"/>
      <c r="GK27" s="27" t="n"/>
      <c r="GL27" s="27" t="n"/>
      <c r="GM27" s="27" t="n"/>
      <c r="GN27" s="27" t="n"/>
      <c r="GO27" s="27" t="n"/>
      <c r="GP27" s="27" t="n"/>
      <c r="GQ27" s="27" t="n"/>
      <c r="GR27" s="27" t="n"/>
      <c r="GS27" s="27" t="n"/>
      <c r="GT27" s="27" t="n"/>
      <c r="GU27" s="27" t="n"/>
      <c r="GV27" s="27" t="n"/>
      <c r="GW27" s="27" t="n"/>
      <c r="GX27" s="27" t="n"/>
      <c r="GY27" s="27" t="n"/>
      <c r="GZ27" s="27" t="n"/>
      <c r="HA27" s="27" t="n"/>
      <c r="HB27" s="27" t="n"/>
      <c r="HC27" s="27" t="n"/>
      <c r="HD27" s="27" t="n"/>
      <c r="HE27" s="27" t="n"/>
      <c r="HF27" s="27" t="n"/>
      <c r="HG27" s="27" t="n"/>
      <c r="HH27" s="27" t="n"/>
      <c r="HI27" s="27" t="n"/>
      <c r="HJ27" s="27" t="n"/>
      <c r="HK27" s="27" t="n"/>
      <c r="HL27" s="27" t="n"/>
      <c r="HM27" s="27" t="n"/>
      <c r="HN27" s="27" t="n"/>
      <c r="HO27" s="27" t="n"/>
      <c r="HP27" s="27" t="n"/>
      <c r="HQ27" s="27" t="n"/>
      <c r="HR27" s="27" t="n"/>
      <c r="HS27" s="27" t="n"/>
      <c r="HT27" s="27" t="n"/>
      <c r="HU27" s="27" t="n"/>
      <c r="HV27" s="27" t="n"/>
      <c r="HW27" s="27" t="n"/>
      <c r="HX27" s="27" t="n"/>
      <c r="HY27" s="27" t="n"/>
      <c r="HZ27" s="27" t="n"/>
      <c r="IA27" s="27" t="n"/>
      <c r="IB27" s="27" t="n"/>
      <c r="IC27" s="27" t="n"/>
      <c r="ID27" s="27" t="n"/>
      <c r="IE27" s="27" t="n"/>
      <c r="IF27" s="27" t="n"/>
      <c r="IG27" s="27" t="n"/>
      <c r="IH27" s="27" t="n"/>
      <c r="II27" s="27" t="n"/>
      <c r="IJ27" s="27" t="n"/>
      <c r="IK27" s="27" t="n"/>
      <c r="IL27" s="27" t="n"/>
      <c r="IM27" s="27" t="n"/>
      <c r="IN27" s="27" t="n"/>
      <c r="IO27" s="27" t="n"/>
      <c r="IP27" s="27" t="n"/>
      <c r="IQ27" s="27" t="n"/>
      <c r="IR27" s="27" t="n"/>
      <c r="IS27" s="27" t="n"/>
      <c r="IT27" s="27" t="n"/>
      <c r="IU27" s="27" t="n"/>
      <c r="IV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  <c r="AA28" s="27" t="n"/>
      <c r="AB28" s="27" t="n"/>
      <c r="AC28" s="27" t="n"/>
      <c r="AD28" s="27" t="n"/>
      <c r="AE28" s="27" t="n"/>
      <c r="AF28" s="27" t="n"/>
      <c r="AG28" s="27" t="n"/>
      <c r="AH28" s="27" t="n"/>
      <c r="AI28" s="27" t="n"/>
      <c r="AJ28" s="27" t="n"/>
      <c r="AK28" s="27" t="n"/>
      <c r="AL28" s="27" t="n"/>
      <c r="AM28" s="27" t="n"/>
      <c r="AN28" s="27" t="n"/>
      <c r="AO28" s="27" t="n"/>
      <c r="AP28" s="27" t="n"/>
      <c r="AQ28" s="27" t="n"/>
      <c r="AR28" s="27" t="n"/>
      <c r="AS28" s="27" t="n"/>
      <c r="AT28" s="27" t="n"/>
      <c r="AU28" s="27" t="n"/>
      <c r="AV28" s="27" t="n"/>
      <c r="AW28" s="27" t="n"/>
      <c r="AX28" s="27" t="n"/>
      <c r="AY28" s="27" t="n"/>
      <c r="AZ28" s="27" t="n"/>
      <c r="BA28" s="27" t="n"/>
      <c r="BB28" s="27" t="n"/>
      <c r="BC28" s="27" t="n"/>
      <c r="BD28" s="27" t="n"/>
      <c r="BE28" s="27" t="n"/>
      <c r="BF28" s="27" t="n"/>
      <c r="BG28" s="27" t="n"/>
      <c r="BH28" s="27" t="n"/>
      <c r="BI28" s="27" t="n"/>
      <c r="BJ28" s="27" t="n"/>
      <c r="BK28" s="27" t="n"/>
      <c r="BL28" s="27" t="n"/>
      <c r="BM28" s="27" t="n"/>
      <c r="BN28" s="27" t="n"/>
      <c r="BO28" s="27" t="n"/>
      <c r="BP28" s="27" t="n"/>
      <c r="BQ28" s="27" t="n"/>
      <c r="BR28" s="27" t="n"/>
      <c r="BS28" s="27" t="n"/>
      <c r="BT28" s="27" t="n"/>
      <c r="BU28" s="27" t="n"/>
      <c r="BV28" s="27" t="n"/>
      <c r="BW28" s="27" t="n"/>
      <c r="BX28" s="27" t="n"/>
      <c r="BY28" s="27" t="n"/>
      <c r="BZ28" s="27" t="n"/>
      <c r="CA28" s="27" t="n"/>
      <c r="CB28" s="27" t="n"/>
      <c r="CC28" s="27" t="n"/>
      <c r="CD28" s="27" t="n"/>
      <c r="CE28" s="27" t="n"/>
      <c r="CF28" s="27" t="n"/>
      <c r="CG28" s="27" t="n"/>
      <c r="CH28" s="27" t="n"/>
      <c r="CI28" s="27" t="n"/>
      <c r="CJ28" s="27" t="n"/>
      <c r="CK28" s="27" t="n"/>
      <c r="CL28" s="27" t="n"/>
      <c r="CM28" s="27" t="n"/>
      <c r="CN28" s="27" t="n"/>
      <c r="CO28" s="27" t="n"/>
      <c r="CP28" s="27" t="n"/>
      <c r="CQ28" s="27" t="n"/>
      <c r="CR28" s="27" t="n"/>
      <c r="CS28" s="27" t="n"/>
      <c r="CT28" s="27" t="n"/>
      <c r="CU28" s="27" t="n"/>
      <c r="CV28" s="27" t="n"/>
      <c r="CW28" s="27" t="n"/>
      <c r="CX28" s="27" t="n"/>
      <c r="CY28" s="27" t="n"/>
      <c r="CZ28" s="27" t="n"/>
      <c r="DA28" s="27" t="n"/>
      <c r="DB28" s="27" t="n"/>
      <c r="DC28" s="27" t="n"/>
      <c r="DD28" s="27" t="n"/>
      <c r="DE28" s="27" t="n"/>
      <c r="DF28" s="27" t="n"/>
      <c r="DG28" s="27" t="n"/>
      <c r="DH28" s="27" t="n"/>
      <c r="DI28" s="27" t="n"/>
      <c r="DJ28" s="27" t="n"/>
      <c r="DK28" s="27" t="n"/>
      <c r="DL28" s="27" t="n"/>
      <c r="DM28" s="27" t="n"/>
      <c r="DN28" s="27" t="n"/>
      <c r="DO28" s="27" t="n"/>
      <c r="DP28" s="27" t="n"/>
      <c r="DQ28" s="27" t="n"/>
      <c r="DR28" s="27" t="n"/>
      <c r="DS28" s="27" t="n"/>
      <c r="DT28" s="27" t="n"/>
      <c r="DU28" s="27" t="n"/>
      <c r="DV28" s="27" t="n"/>
      <c r="DW28" s="27" t="n"/>
      <c r="DX28" s="27" t="n"/>
      <c r="DY28" s="27" t="n"/>
      <c r="DZ28" s="27" t="n"/>
      <c r="EA28" s="27" t="n"/>
      <c r="EB28" s="27" t="n"/>
      <c r="EC28" s="27" t="n"/>
      <c r="ED28" s="27" t="n"/>
      <c r="EE28" s="27" t="n"/>
      <c r="EF28" s="27" t="n"/>
      <c r="EG28" s="27" t="n"/>
      <c r="EH28" s="27" t="n"/>
      <c r="EI28" s="27" t="n"/>
      <c r="EJ28" s="27" t="n"/>
      <c r="EK28" s="27" t="n"/>
      <c r="EL28" s="27" t="n"/>
      <c r="EM28" s="27" t="n"/>
      <c r="EN28" s="27" t="n"/>
      <c r="EO28" s="27" t="n"/>
      <c r="EP28" s="27" t="n"/>
      <c r="EQ28" s="27" t="n"/>
      <c r="ER28" s="27" t="n"/>
      <c r="ES28" s="27" t="n"/>
      <c r="ET28" s="27" t="n"/>
      <c r="EU28" s="27" t="n"/>
      <c r="EV28" s="27" t="n"/>
      <c r="EW28" s="27" t="n"/>
      <c r="EX28" s="27" t="n"/>
      <c r="EY28" s="27" t="n"/>
      <c r="EZ28" s="27" t="n"/>
      <c r="FA28" s="27" t="n"/>
      <c r="FB28" s="27" t="n"/>
      <c r="FC28" s="27" t="n"/>
      <c r="FD28" s="27" t="n"/>
      <c r="FE28" s="27" t="n"/>
      <c r="FF28" s="27" t="n"/>
      <c r="FG28" s="27" t="n"/>
      <c r="FH28" s="27" t="n"/>
      <c r="FI28" s="27" t="n"/>
      <c r="FJ28" s="27" t="n"/>
      <c r="FK28" s="27" t="n"/>
      <c r="FL28" s="27" t="n"/>
      <c r="FM28" s="27" t="n"/>
      <c r="FN28" s="27" t="n"/>
      <c r="FO28" s="27" t="n"/>
      <c r="FP28" s="27" t="n"/>
      <c r="FQ28" s="27" t="n"/>
      <c r="FR28" s="27" t="n"/>
      <c r="FS28" s="27" t="n"/>
      <c r="FT28" s="27" t="n"/>
      <c r="FU28" s="27" t="n"/>
      <c r="FV28" s="27" t="n"/>
      <c r="FW28" s="27" t="n"/>
      <c r="FX28" s="27" t="n"/>
      <c r="FY28" s="27" t="n"/>
      <c r="FZ28" s="27" t="n"/>
      <c r="GA28" s="27" t="n"/>
      <c r="GB28" s="27" t="n"/>
      <c r="GC28" s="27" t="n"/>
      <c r="GD28" s="27" t="n"/>
      <c r="GE28" s="27" t="n"/>
      <c r="GF28" s="27" t="n"/>
      <c r="GG28" s="27" t="n"/>
      <c r="GH28" s="27" t="n"/>
      <c r="GI28" s="27" t="n"/>
      <c r="GJ28" s="27" t="n"/>
      <c r="GK28" s="27" t="n"/>
      <c r="GL28" s="27" t="n"/>
      <c r="GM28" s="27" t="n"/>
      <c r="GN28" s="27" t="n"/>
      <c r="GO28" s="27" t="n"/>
      <c r="GP28" s="27" t="n"/>
      <c r="GQ28" s="27" t="n"/>
      <c r="GR28" s="27" t="n"/>
      <c r="GS28" s="27" t="n"/>
      <c r="GT28" s="27" t="n"/>
      <c r="GU28" s="27" t="n"/>
      <c r="GV28" s="27" t="n"/>
      <c r="GW28" s="27" t="n"/>
      <c r="GX28" s="27" t="n"/>
      <c r="GY28" s="27" t="n"/>
      <c r="GZ28" s="27" t="n"/>
      <c r="HA28" s="27" t="n"/>
      <c r="HB28" s="27" t="n"/>
      <c r="HC28" s="27" t="n"/>
      <c r="HD28" s="27" t="n"/>
      <c r="HE28" s="27" t="n"/>
      <c r="HF28" s="27" t="n"/>
      <c r="HG28" s="27" t="n"/>
      <c r="HH28" s="27" t="n"/>
      <c r="HI28" s="27" t="n"/>
      <c r="HJ28" s="27" t="n"/>
      <c r="HK28" s="27" t="n"/>
      <c r="HL28" s="27" t="n"/>
      <c r="HM28" s="27" t="n"/>
      <c r="HN28" s="27" t="n"/>
      <c r="HO28" s="27" t="n"/>
      <c r="HP28" s="27" t="n"/>
      <c r="HQ28" s="27" t="n"/>
      <c r="HR28" s="27" t="n"/>
      <c r="HS28" s="27" t="n"/>
      <c r="HT28" s="27" t="n"/>
      <c r="HU28" s="27" t="n"/>
      <c r="HV28" s="27" t="n"/>
      <c r="HW28" s="27" t="n"/>
      <c r="HX28" s="27" t="n"/>
      <c r="HY28" s="27" t="n"/>
      <c r="HZ28" s="27" t="n"/>
      <c r="IA28" s="27" t="n"/>
      <c r="IB28" s="27" t="n"/>
      <c r="IC28" s="27" t="n"/>
      <c r="ID28" s="27" t="n"/>
      <c r="IE28" s="27" t="n"/>
      <c r="IF28" s="27" t="n"/>
      <c r="IG28" s="27" t="n"/>
      <c r="IH28" s="27" t="n"/>
      <c r="II28" s="27" t="n"/>
      <c r="IJ28" s="27" t="n"/>
      <c r="IK28" s="27" t="n"/>
      <c r="IL28" s="27" t="n"/>
      <c r="IM28" s="27" t="n"/>
      <c r="IN28" s="27" t="n"/>
      <c r="IO28" s="27" t="n"/>
      <c r="IP28" s="27" t="n"/>
      <c r="IQ28" s="27" t="n"/>
      <c r="IR28" s="27" t="n"/>
      <c r="IS28" s="27" t="n"/>
      <c r="IT28" s="27" t="n"/>
      <c r="IU28" s="27" t="n"/>
      <c r="IV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  <c r="AA29" s="27" t="n"/>
      <c r="AB29" s="27" t="n"/>
      <c r="AC29" s="27" t="n"/>
      <c r="AD29" s="27" t="n"/>
      <c r="AE29" s="27" t="n"/>
      <c r="AF29" s="27" t="n"/>
      <c r="AG29" s="27" t="n"/>
      <c r="AH29" s="27" t="n"/>
      <c r="AI29" s="27" t="n"/>
      <c r="AJ29" s="27" t="n"/>
      <c r="AK29" s="27" t="n"/>
      <c r="AL29" s="27" t="n"/>
      <c r="AM29" s="27" t="n"/>
      <c r="AN29" s="27" t="n"/>
      <c r="AO29" s="27" t="n"/>
      <c r="AP29" s="27" t="n"/>
      <c r="AQ29" s="27" t="n"/>
      <c r="AR29" s="27" t="n"/>
      <c r="AS29" s="27" t="n"/>
      <c r="AT29" s="27" t="n"/>
      <c r="AU29" s="27" t="n"/>
      <c r="AV29" s="27" t="n"/>
      <c r="AW29" s="27" t="n"/>
      <c r="AX29" s="27" t="n"/>
      <c r="AY29" s="27" t="n"/>
      <c r="AZ29" s="27" t="n"/>
      <c r="BA29" s="27" t="n"/>
      <c r="BB29" s="27" t="n"/>
      <c r="BC29" s="27" t="n"/>
      <c r="BD29" s="27" t="n"/>
      <c r="BE29" s="27" t="n"/>
      <c r="BF29" s="27" t="n"/>
      <c r="BG29" s="27" t="n"/>
      <c r="BH29" s="27" t="n"/>
      <c r="BI29" s="27" t="n"/>
      <c r="BJ29" s="27" t="n"/>
      <c r="BK29" s="27" t="n"/>
      <c r="BL29" s="27" t="n"/>
      <c r="BM29" s="27" t="n"/>
      <c r="BN29" s="27" t="n"/>
      <c r="BO29" s="27" t="n"/>
      <c r="BP29" s="27" t="n"/>
      <c r="BQ29" s="27" t="n"/>
      <c r="BR29" s="27" t="n"/>
      <c r="BS29" s="27" t="n"/>
      <c r="BT29" s="27" t="n"/>
      <c r="BU29" s="27" t="n"/>
      <c r="BV29" s="27" t="n"/>
      <c r="BW29" s="27" t="n"/>
      <c r="BX29" s="27" t="n"/>
      <c r="BY29" s="27" t="n"/>
      <c r="BZ29" s="27" t="n"/>
      <c r="CA29" s="27" t="n"/>
      <c r="CB29" s="27" t="n"/>
      <c r="CC29" s="27" t="n"/>
      <c r="CD29" s="27" t="n"/>
      <c r="CE29" s="27" t="n"/>
      <c r="CF29" s="27" t="n"/>
      <c r="CG29" s="27" t="n"/>
      <c r="CH29" s="27" t="n"/>
      <c r="CI29" s="27" t="n"/>
      <c r="CJ29" s="27" t="n"/>
      <c r="CK29" s="27" t="n"/>
      <c r="CL29" s="27" t="n"/>
      <c r="CM29" s="27" t="n"/>
      <c r="CN29" s="27" t="n"/>
      <c r="CO29" s="27" t="n"/>
      <c r="CP29" s="27" t="n"/>
      <c r="CQ29" s="27" t="n"/>
      <c r="CR29" s="27" t="n"/>
      <c r="CS29" s="27" t="n"/>
      <c r="CT29" s="27" t="n"/>
      <c r="CU29" s="27" t="n"/>
      <c r="CV29" s="27" t="n"/>
      <c r="CW29" s="27" t="n"/>
      <c r="CX29" s="27" t="n"/>
      <c r="CY29" s="27" t="n"/>
      <c r="CZ29" s="27" t="n"/>
      <c r="DA29" s="27" t="n"/>
      <c r="DB29" s="27" t="n"/>
      <c r="DC29" s="27" t="n"/>
      <c r="DD29" s="27" t="n"/>
      <c r="DE29" s="27" t="n"/>
      <c r="DF29" s="27" t="n"/>
      <c r="DG29" s="27" t="n"/>
      <c r="DH29" s="27" t="n"/>
      <c r="DI29" s="27" t="n"/>
      <c r="DJ29" s="27" t="n"/>
      <c r="DK29" s="27" t="n"/>
      <c r="DL29" s="27" t="n"/>
      <c r="DM29" s="27" t="n"/>
      <c r="DN29" s="27" t="n"/>
      <c r="DO29" s="27" t="n"/>
      <c r="DP29" s="27" t="n"/>
      <c r="DQ29" s="27" t="n"/>
      <c r="DR29" s="27" t="n"/>
      <c r="DS29" s="27" t="n"/>
      <c r="DT29" s="27" t="n"/>
      <c r="DU29" s="27" t="n"/>
      <c r="DV29" s="27" t="n"/>
      <c r="DW29" s="27" t="n"/>
      <c r="DX29" s="27" t="n"/>
      <c r="DY29" s="27" t="n"/>
      <c r="DZ29" s="27" t="n"/>
      <c r="EA29" s="27" t="n"/>
      <c r="EB29" s="27" t="n"/>
      <c r="EC29" s="27" t="n"/>
      <c r="ED29" s="27" t="n"/>
      <c r="EE29" s="27" t="n"/>
      <c r="EF29" s="27" t="n"/>
      <c r="EG29" s="27" t="n"/>
      <c r="EH29" s="27" t="n"/>
      <c r="EI29" s="27" t="n"/>
      <c r="EJ29" s="27" t="n"/>
      <c r="EK29" s="27" t="n"/>
      <c r="EL29" s="27" t="n"/>
      <c r="EM29" s="27" t="n"/>
      <c r="EN29" s="27" t="n"/>
      <c r="EO29" s="27" t="n"/>
      <c r="EP29" s="27" t="n"/>
      <c r="EQ29" s="27" t="n"/>
      <c r="ER29" s="27" t="n"/>
      <c r="ES29" s="27" t="n"/>
      <c r="ET29" s="27" t="n"/>
      <c r="EU29" s="27" t="n"/>
      <c r="EV29" s="27" t="n"/>
      <c r="EW29" s="27" t="n"/>
      <c r="EX29" s="27" t="n"/>
      <c r="EY29" s="27" t="n"/>
      <c r="EZ29" s="27" t="n"/>
      <c r="FA29" s="27" t="n"/>
      <c r="FB29" s="27" t="n"/>
      <c r="FC29" s="27" t="n"/>
      <c r="FD29" s="27" t="n"/>
      <c r="FE29" s="27" t="n"/>
      <c r="FF29" s="27" t="n"/>
      <c r="FG29" s="27" t="n"/>
      <c r="FH29" s="27" t="n"/>
      <c r="FI29" s="27" t="n"/>
      <c r="FJ29" s="27" t="n"/>
      <c r="FK29" s="27" t="n"/>
      <c r="FL29" s="27" t="n"/>
      <c r="FM29" s="27" t="n"/>
      <c r="FN29" s="27" t="n"/>
      <c r="FO29" s="27" t="n"/>
      <c r="FP29" s="27" t="n"/>
      <c r="FQ29" s="27" t="n"/>
      <c r="FR29" s="27" t="n"/>
      <c r="FS29" s="27" t="n"/>
      <c r="FT29" s="27" t="n"/>
      <c r="FU29" s="27" t="n"/>
      <c r="FV29" s="27" t="n"/>
      <c r="FW29" s="27" t="n"/>
      <c r="FX29" s="27" t="n"/>
      <c r="FY29" s="27" t="n"/>
      <c r="FZ29" s="27" t="n"/>
      <c r="GA29" s="27" t="n"/>
      <c r="GB29" s="27" t="n"/>
      <c r="GC29" s="27" t="n"/>
      <c r="GD29" s="27" t="n"/>
      <c r="GE29" s="27" t="n"/>
      <c r="GF29" s="27" t="n"/>
      <c r="GG29" s="27" t="n"/>
      <c r="GH29" s="27" t="n"/>
      <c r="GI29" s="27" t="n"/>
      <c r="GJ29" s="27" t="n"/>
      <c r="GK29" s="27" t="n"/>
      <c r="GL29" s="27" t="n"/>
      <c r="GM29" s="27" t="n"/>
      <c r="GN29" s="27" t="n"/>
      <c r="GO29" s="27" t="n"/>
      <c r="GP29" s="27" t="n"/>
      <c r="GQ29" s="27" t="n"/>
      <c r="GR29" s="27" t="n"/>
      <c r="GS29" s="27" t="n"/>
      <c r="GT29" s="27" t="n"/>
      <c r="GU29" s="27" t="n"/>
      <c r="GV29" s="27" t="n"/>
      <c r="GW29" s="27" t="n"/>
      <c r="GX29" s="27" t="n"/>
      <c r="GY29" s="27" t="n"/>
      <c r="GZ29" s="27" t="n"/>
      <c r="HA29" s="27" t="n"/>
      <c r="HB29" s="27" t="n"/>
      <c r="HC29" s="27" t="n"/>
      <c r="HD29" s="27" t="n"/>
      <c r="HE29" s="27" t="n"/>
      <c r="HF29" s="27" t="n"/>
      <c r="HG29" s="27" t="n"/>
      <c r="HH29" s="27" t="n"/>
      <c r="HI29" s="27" t="n"/>
      <c r="HJ29" s="27" t="n"/>
      <c r="HK29" s="27" t="n"/>
      <c r="HL29" s="27" t="n"/>
      <c r="HM29" s="27" t="n"/>
      <c r="HN29" s="27" t="n"/>
      <c r="HO29" s="27" t="n"/>
      <c r="HP29" s="27" t="n"/>
      <c r="HQ29" s="27" t="n"/>
      <c r="HR29" s="27" t="n"/>
      <c r="HS29" s="27" t="n"/>
      <c r="HT29" s="27" t="n"/>
      <c r="HU29" s="27" t="n"/>
      <c r="HV29" s="27" t="n"/>
      <c r="HW29" s="27" t="n"/>
      <c r="HX29" s="27" t="n"/>
      <c r="HY29" s="27" t="n"/>
      <c r="HZ29" s="27" t="n"/>
      <c r="IA29" s="27" t="n"/>
      <c r="IB29" s="27" t="n"/>
      <c r="IC29" s="27" t="n"/>
      <c r="ID29" s="27" t="n"/>
      <c r="IE29" s="27" t="n"/>
      <c r="IF29" s="27" t="n"/>
      <c r="IG29" s="27" t="n"/>
      <c r="IH29" s="27" t="n"/>
      <c r="II29" s="27" t="n"/>
      <c r="IJ29" s="27" t="n"/>
      <c r="IK29" s="27" t="n"/>
      <c r="IL29" s="27" t="n"/>
      <c r="IM29" s="27" t="n"/>
      <c r="IN29" s="27" t="n"/>
      <c r="IO29" s="27" t="n"/>
      <c r="IP29" s="27" t="n"/>
      <c r="IQ29" s="27" t="n"/>
      <c r="IR29" s="27" t="n"/>
      <c r="IS29" s="27" t="n"/>
      <c r="IT29" s="27" t="n"/>
      <c r="IU29" s="27" t="n"/>
      <c r="IV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  <c r="AA30" s="27" t="n"/>
      <c r="AB30" s="27" t="n"/>
      <c r="AC30" s="27" t="n"/>
      <c r="AD30" s="27" t="n"/>
      <c r="AE30" s="27" t="n"/>
      <c r="AF30" s="27" t="n"/>
      <c r="AG30" s="27" t="n"/>
      <c r="AH30" s="27" t="n"/>
      <c r="AI30" s="27" t="n"/>
      <c r="AJ30" s="27" t="n"/>
      <c r="AK30" s="27" t="n"/>
      <c r="AL30" s="27" t="n"/>
      <c r="AM30" s="27" t="n"/>
      <c r="AN30" s="27" t="n"/>
      <c r="AO30" s="27" t="n"/>
      <c r="AP30" s="27" t="n"/>
      <c r="AQ30" s="27" t="n"/>
      <c r="AR30" s="27" t="n"/>
      <c r="AS30" s="27" t="n"/>
      <c r="AT30" s="27" t="n"/>
      <c r="AU30" s="27" t="n"/>
      <c r="AV30" s="27" t="n"/>
      <c r="AW30" s="27" t="n"/>
      <c r="AX30" s="27" t="n"/>
      <c r="AY30" s="27" t="n"/>
      <c r="AZ30" s="27" t="n"/>
      <c r="BA30" s="27" t="n"/>
      <c r="BB30" s="27" t="n"/>
      <c r="BC30" s="27" t="n"/>
      <c r="BD30" s="27" t="n"/>
      <c r="BE30" s="27" t="n"/>
      <c r="BF30" s="27" t="n"/>
      <c r="BG30" s="27" t="n"/>
      <c r="BH30" s="27" t="n"/>
      <c r="BI30" s="27" t="n"/>
      <c r="BJ30" s="27" t="n"/>
      <c r="BK30" s="27" t="n"/>
      <c r="BL30" s="27" t="n"/>
      <c r="BM30" s="27" t="n"/>
      <c r="BN30" s="27" t="n"/>
      <c r="BO30" s="27" t="n"/>
      <c r="BP30" s="27" t="n"/>
      <c r="BQ30" s="27" t="n"/>
      <c r="BR30" s="27" t="n"/>
      <c r="BS30" s="27" t="n"/>
      <c r="BT30" s="27" t="n"/>
      <c r="BU30" s="27" t="n"/>
      <c r="BV30" s="27" t="n"/>
      <c r="BW30" s="27" t="n"/>
      <c r="BX30" s="27" t="n"/>
      <c r="BY30" s="27" t="n"/>
      <c r="BZ30" s="27" t="n"/>
      <c r="CA30" s="27" t="n"/>
      <c r="CB30" s="27" t="n"/>
      <c r="CC30" s="27" t="n"/>
      <c r="CD30" s="27" t="n"/>
      <c r="CE30" s="27" t="n"/>
      <c r="CF30" s="27" t="n"/>
      <c r="CG30" s="27" t="n"/>
      <c r="CH30" s="27" t="n"/>
      <c r="CI30" s="27" t="n"/>
      <c r="CJ30" s="27" t="n"/>
      <c r="CK30" s="27" t="n"/>
      <c r="CL30" s="27" t="n"/>
      <c r="CM30" s="27" t="n"/>
      <c r="CN30" s="27" t="n"/>
      <c r="CO30" s="27" t="n"/>
      <c r="CP30" s="27" t="n"/>
      <c r="CQ30" s="27" t="n"/>
      <c r="CR30" s="27" t="n"/>
      <c r="CS30" s="27" t="n"/>
      <c r="CT30" s="27" t="n"/>
      <c r="CU30" s="27" t="n"/>
      <c r="CV30" s="27" t="n"/>
      <c r="CW30" s="27" t="n"/>
      <c r="CX30" s="27" t="n"/>
      <c r="CY30" s="27" t="n"/>
      <c r="CZ30" s="27" t="n"/>
      <c r="DA30" s="27" t="n"/>
      <c r="DB30" s="27" t="n"/>
      <c r="DC30" s="27" t="n"/>
      <c r="DD30" s="27" t="n"/>
      <c r="DE30" s="27" t="n"/>
      <c r="DF30" s="27" t="n"/>
      <c r="DG30" s="27" t="n"/>
      <c r="DH30" s="27" t="n"/>
      <c r="DI30" s="27" t="n"/>
      <c r="DJ30" s="27" t="n"/>
      <c r="DK30" s="27" t="n"/>
      <c r="DL30" s="27" t="n"/>
      <c r="DM30" s="27" t="n"/>
      <c r="DN30" s="27" t="n"/>
      <c r="DO30" s="27" t="n"/>
      <c r="DP30" s="27" t="n"/>
      <c r="DQ30" s="27" t="n"/>
      <c r="DR30" s="27" t="n"/>
      <c r="DS30" s="27" t="n"/>
      <c r="DT30" s="27" t="n"/>
      <c r="DU30" s="27" t="n"/>
      <c r="DV30" s="27" t="n"/>
      <c r="DW30" s="27" t="n"/>
      <c r="DX30" s="27" t="n"/>
      <c r="DY30" s="27" t="n"/>
      <c r="DZ30" s="27" t="n"/>
      <c r="EA30" s="27" t="n"/>
      <c r="EB30" s="27" t="n"/>
      <c r="EC30" s="27" t="n"/>
      <c r="ED30" s="27" t="n"/>
      <c r="EE30" s="27" t="n"/>
      <c r="EF30" s="27" t="n"/>
      <c r="EG30" s="27" t="n"/>
      <c r="EH30" s="27" t="n"/>
      <c r="EI30" s="27" t="n"/>
      <c r="EJ30" s="27" t="n"/>
      <c r="EK30" s="27" t="n"/>
      <c r="EL30" s="27" t="n"/>
      <c r="EM30" s="27" t="n"/>
      <c r="EN30" s="27" t="n"/>
      <c r="EO30" s="27" t="n"/>
      <c r="EP30" s="27" t="n"/>
      <c r="EQ30" s="27" t="n"/>
      <c r="ER30" s="27" t="n"/>
      <c r="ES30" s="27" t="n"/>
      <c r="ET30" s="27" t="n"/>
      <c r="EU30" s="27" t="n"/>
      <c r="EV30" s="27" t="n"/>
      <c r="EW30" s="27" t="n"/>
      <c r="EX30" s="27" t="n"/>
      <c r="EY30" s="27" t="n"/>
      <c r="EZ30" s="27" t="n"/>
      <c r="FA30" s="27" t="n"/>
      <c r="FB30" s="27" t="n"/>
      <c r="FC30" s="27" t="n"/>
      <c r="FD30" s="27" t="n"/>
      <c r="FE30" s="27" t="n"/>
      <c r="FF30" s="27" t="n"/>
      <c r="FG30" s="27" t="n"/>
      <c r="FH30" s="27" t="n"/>
      <c r="FI30" s="27" t="n"/>
      <c r="FJ30" s="27" t="n"/>
      <c r="FK30" s="27" t="n"/>
      <c r="FL30" s="27" t="n"/>
      <c r="FM30" s="27" t="n"/>
      <c r="FN30" s="27" t="n"/>
      <c r="FO30" s="27" t="n"/>
      <c r="FP30" s="27" t="n"/>
      <c r="FQ30" s="27" t="n"/>
      <c r="FR30" s="27" t="n"/>
      <c r="FS30" s="27" t="n"/>
      <c r="FT30" s="27" t="n"/>
      <c r="FU30" s="27" t="n"/>
      <c r="FV30" s="27" t="n"/>
      <c r="FW30" s="27" t="n"/>
      <c r="FX30" s="27" t="n"/>
      <c r="FY30" s="27" t="n"/>
      <c r="FZ30" s="27" t="n"/>
      <c r="GA30" s="27" t="n"/>
      <c r="GB30" s="27" t="n"/>
      <c r="GC30" s="27" t="n"/>
      <c r="GD30" s="27" t="n"/>
      <c r="GE30" s="27" t="n"/>
      <c r="GF30" s="27" t="n"/>
      <c r="GG30" s="27" t="n"/>
      <c r="GH30" s="27" t="n"/>
      <c r="GI30" s="27" t="n"/>
      <c r="GJ30" s="27" t="n"/>
      <c r="GK30" s="27" t="n"/>
      <c r="GL30" s="27" t="n"/>
      <c r="GM30" s="27" t="n"/>
      <c r="GN30" s="27" t="n"/>
      <c r="GO30" s="27" t="n"/>
      <c r="GP30" s="27" t="n"/>
      <c r="GQ30" s="27" t="n"/>
      <c r="GR30" s="27" t="n"/>
      <c r="GS30" s="27" t="n"/>
      <c r="GT30" s="27" t="n"/>
      <c r="GU30" s="27" t="n"/>
      <c r="GV30" s="27" t="n"/>
      <c r="GW30" s="27" t="n"/>
      <c r="GX30" s="27" t="n"/>
      <c r="GY30" s="27" t="n"/>
      <c r="GZ30" s="27" t="n"/>
      <c r="HA30" s="27" t="n"/>
      <c r="HB30" s="27" t="n"/>
      <c r="HC30" s="27" t="n"/>
      <c r="HD30" s="27" t="n"/>
      <c r="HE30" s="27" t="n"/>
      <c r="HF30" s="27" t="n"/>
      <c r="HG30" s="27" t="n"/>
      <c r="HH30" s="27" t="n"/>
      <c r="HI30" s="27" t="n"/>
      <c r="HJ30" s="27" t="n"/>
      <c r="HK30" s="27" t="n"/>
      <c r="HL30" s="27" t="n"/>
      <c r="HM30" s="27" t="n"/>
      <c r="HN30" s="27" t="n"/>
      <c r="HO30" s="27" t="n"/>
      <c r="HP30" s="27" t="n"/>
      <c r="HQ30" s="27" t="n"/>
      <c r="HR30" s="27" t="n"/>
      <c r="HS30" s="27" t="n"/>
      <c r="HT30" s="27" t="n"/>
      <c r="HU30" s="27" t="n"/>
      <c r="HV30" s="27" t="n"/>
      <c r="HW30" s="27" t="n"/>
      <c r="HX30" s="27" t="n"/>
      <c r="HY30" s="27" t="n"/>
      <c r="HZ30" s="27" t="n"/>
      <c r="IA30" s="27" t="n"/>
      <c r="IB30" s="27" t="n"/>
      <c r="IC30" s="27" t="n"/>
      <c r="ID30" s="27" t="n"/>
      <c r="IE30" s="27" t="n"/>
      <c r="IF30" s="27" t="n"/>
      <c r="IG30" s="27" t="n"/>
      <c r="IH30" s="27" t="n"/>
      <c r="II30" s="27" t="n"/>
      <c r="IJ30" s="27" t="n"/>
      <c r="IK30" s="27" t="n"/>
      <c r="IL30" s="27" t="n"/>
      <c r="IM30" s="27" t="n"/>
      <c r="IN30" s="27" t="n"/>
      <c r="IO30" s="27" t="n"/>
      <c r="IP30" s="27" t="n"/>
      <c r="IQ30" s="27" t="n"/>
      <c r="IR30" s="27" t="n"/>
      <c r="IS30" s="27" t="n"/>
      <c r="IT30" s="27" t="n"/>
      <c r="IU30" s="27" t="n"/>
      <c r="IV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  <c r="AA31" s="27" t="n"/>
      <c r="AB31" s="27" t="n"/>
      <c r="AC31" s="27" t="n"/>
      <c r="AD31" s="27" t="n"/>
      <c r="AE31" s="27" t="n"/>
      <c r="AF31" s="27" t="n"/>
      <c r="AG31" s="27" t="n"/>
      <c r="AH31" s="27" t="n"/>
      <c r="AI31" s="27" t="n"/>
      <c r="AJ31" s="27" t="n"/>
      <c r="AK31" s="27" t="n"/>
      <c r="AL31" s="27" t="n"/>
      <c r="AM31" s="27" t="n"/>
      <c r="AN31" s="27" t="n"/>
      <c r="AO31" s="27" t="n"/>
      <c r="AP31" s="27" t="n"/>
      <c r="AQ31" s="27" t="n"/>
      <c r="AR31" s="27" t="n"/>
      <c r="AS31" s="27" t="n"/>
      <c r="AT31" s="27" t="n"/>
      <c r="AU31" s="27" t="n"/>
      <c r="AV31" s="27" t="n"/>
      <c r="AW31" s="27" t="n"/>
      <c r="AX31" s="27" t="n"/>
      <c r="AY31" s="27" t="n"/>
      <c r="AZ31" s="27" t="n"/>
      <c r="BA31" s="27" t="n"/>
      <c r="BB31" s="27" t="n"/>
      <c r="BC31" s="27" t="n"/>
      <c r="BD31" s="27" t="n"/>
      <c r="BE31" s="27" t="n"/>
      <c r="BF31" s="27" t="n"/>
      <c r="BG31" s="27" t="n"/>
      <c r="BH31" s="27" t="n"/>
      <c r="BI31" s="27" t="n"/>
      <c r="BJ31" s="27" t="n"/>
      <c r="BK31" s="27" t="n"/>
      <c r="BL31" s="27" t="n"/>
      <c r="BM31" s="27" t="n"/>
      <c r="BN31" s="27" t="n"/>
      <c r="BO31" s="27" t="n"/>
      <c r="BP31" s="27" t="n"/>
      <c r="BQ31" s="27" t="n"/>
      <c r="BR31" s="27" t="n"/>
      <c r="BS31" s="27" t="n"/>
      <c r="BT31" s="27" t="n"/>
      <c r="BU31" s="27" t="n"/>
      <c r="BV31" s="27" t="n"/>
      <c r="BW31" s="27" t="n"/>
      <c r="BX31" s="27" t="n"/>
      <c r="BY31" s="27" t="n"/>
      <c r="BZ31" s="27" t="n"/>
      <c r="CA31" s="27" t="n"/>
      <c r="CB31" s="27" t="n"/>
      <c r="CC31" s="27" t="n"/>
      <c r="CD31" s="27" t="n"/>
      <c r="CE31" s="27" t="n"/>
      <c r="CF31" s="27" t="n"/>
      <c r="CG31" s="27" t="n"/>
      <c r="CH31" s="27" t="n"/>
      <c r="CI31" s="27" t="n"/>
      <c r="CJ31" s="27" t="n"/>
      <c r="CK31" s="27" t="n"/>
      <c r="CL31" s="27" t="n"/>
      <c r="CM31" s="27" t="n"/>
      <c r="CN31" s="27" t="n"/>
      <c r="CO31" s="27" t="n"/>
      <c r="CP31" s="27" t="n"/>
      <c r="CQ31" s="27" t="n"/>
      <c r="CR31" s="27" t="n"/>
      <c r="CS31" s="27" t="n"/>
      <c r="CT31" s="27" t="n"/>
      <c r="CU31" s="27" t="n"/>
      <c r="CV31" s="27" t="n"/>
      <c r="CW31" s="27" t="n"/>
      <c r="CX31" s="27" t="n"/>
      <c r="CY31" s="27" t="n"/>
      <c r="CZ31" s="27" t="n"/>
      <c r="DA31" s="27" t="n"/>
      <c r="DB31" s="27" t="n"/>
      <c r="DC31" s="27" t="n"/>
      <c r="DD31" s="27" t="n"/>
      <c r="DE31" s="27" t="n"/>
      <c r="DF31" s="27" t="n"/>
      <c r="DG31" s="27" t="n"/>
      <c r="DH31" s="27" t="n"/>
      <c r="DI31" s="27" t="n"/>
      <c r="DJ31" s="27" t="n"/>
      <c r="DK31" s="27" t="n"/>
      <c r="DL31" s="27" t="n"/>
      <c r="DM31" s="27" t="n"/>
      <c r="DN31" s="27" t="n"/>
      <c r="DO31" s="27" t="n"/>
      <c r="DP31" s="27" t="n"/>
      <c r="DQ31" s="27" t="n"/>
      <c r="DR31" s="27" t="n"/>
      <c r="DS31" s="27" t="n"/>
      <c r="DT31" s="27" t="n"/>
      <c r="DU31" s="27" t="n"/>
      <c r="DV31" s="27" t="n"/>
      <c r="DW31" s="27" t="n"/>
      <c r="DX31" s="27" t="n"/>
      <c r="DY31" s="27" t="n"/>
      <c r="DZ31" s="27" t="n"/>
      <c r="EA31" s="27" t="n"/>
      <c r="EB31" s="27" t="n"/>
      <c r="EC31" s="27" t="n"/>
      <c r="ED31" s="27" t="n"/>
      <c r="EE31" s="27" t="n"/>
      <c r="EF31" s="27" t="n"/>
      <c r="EG31" s="27" t="n"/>
      <c r="EH31" s="27" t="n"/>
      <c r="EI31" s="27" t="n"/>
      <c r="EJ31" s="27" t="n"/>
      <c r="EK31" s="27" t="n"/>
      <c r="EL31" s="27" t="n"/>
      <c r="EM31" s="27" t="n"/>
      <c r="EN31" s="27" t="n"/>
      <c r="EO31" s="27" t="n"/>
      <c r="EP31" s="27" t="n"/>
      <c r="EQ31" s="27" t="n"/>
      <c r="ER31" s="27" t="n"/>
      <c r="ES31" s="27" t="n"/>
      <c r="ET31" s="27" t="n"/>
      <c r="EU31" s="27" t="n"/>
      <c r="EV31" s="27" t="n"/>
      <c r="EW31" s="27" t="n"/>
      <c r="EX31" s="27" t="n"/>
      <c r="EY31" s="27" t="n"/>
      <c r="EZ31" s="27" t="n"/>
      <c r="FA31" s="27" t="n"/>
      <c r="FB31" s="27" t="n"/>
      <c r="FC31" s="27" t="n"/>
      <c r="FD31" s="27" t="n"/>
      <c r="FE31" s="27" t="n"/>
      <c r="FF31" s="27" t="n"/>
      <c r="FG31" s="27" t="n"/>
      <c r="FH31" s="27" t="n"/>
      <c r="FI31" s="27" t="n"/>
      <c r="FJ31" s="27" t="n"/>
      <c r="FK31" s="27" t="n"/>
      <c r="FL31" s="27" t="n"/>
      <c r="FM31" s="27" t="n"/>
      <c r="FN31" s="27" t="n"/>
      <c r="FO31" s="27" t="n"/>
      <c r="FP31" s="27" t="n"/>
      <c r="FQ31" s="27" t="n"/>
      <c r="FR31" s="27" t="n"/>
      <c r="FS31" s="27" t="n"/>
      <c r="FT31" s="27" t="n"/>
      <c r="FU31" s="27" t="n"/>
      <c r="FV31" s="27" t="n"/>
      <c r="FW31" s="27" t="n"/>
      <c r="FX31" s="27" t="n"/>
      <c r="FY31" s="27" t="n"/>
      <c r="FZ31" s="27" t="n"/>
      <c r="GA31" s="27" t="n"/>
      <c r="GB31" s="27" t="n"/>
      <c r="GC31" s="27" t="n"/>
      <c r="GD31" s="27" t="n"/>
      <c r="GE31" s="27" t="n"/>
      <c r="GF31" s="27" t="n"/>
      <c r="GG31" s="27" t="n"/>
      <c r="GH31" s="27" t="n"/>
      <c r="GI31" s="27" t="n"/>
      <c r="GJ31" s="27" t="n"/>
      <c r="GK31" s="27" t="n"/>
      <c r="GL31" s="27" t="n"/>
      <c r="GM31" s="27" t="n"/>
      <c r="GN31" s="27" t="n"/>
      <c r="GO31" s="27" t="n"/>
      <c r="GP31" s="27" t="n"/>
      <c r="GQ31" s="27" t="n"/>
      <c r="GR31" s="27" t="n"/>
      <c r="GS31" s="27" t="n"/>
      <c r="GT31" s="27" t="n"/>
      <c r="GU31" s="27" t="n"/>
      <c r="GV31" s="27" t="n"/>
      <c r="GW31" s="27" t="n"/>
      <c r="GX31" s="27" t="n"/>
      <c r="GY31" s="27" t="n"/>
      <c r="GZ31" s="27" t="n"/>
      <c r="HA31" s="27" t="n"/>
      <c r="HB31" s="27" t="n"/>
      <c r="HC31" s="27" t="n"/>
      <c r="HD31" s="27" t="n"/>
      <c r="HE31" s="27" t="n"/>
      <c r="HF31" s="27" t="n"/>
      <c r="HG31" s="27" t="n"/>
      <c r="HH31" s="27" t="n"/>
      <c r="HI31" s="27" t="n"/>
      <c r="HJ31" s="27" t="n"/>
      <c r="HK31" s="27" t="n"/>
      <c r="HL31" s="27" t="n"/>
      <c r="HM31" s="27" t="n"/>
      <c r="HN31" s="27" t="n"/>
      <c r="HO31" s="27" t="n"/>
      <c r="HP31" s="27" t="n"/>
      <c r="HQ31" s="27" t="n"/>
      <c r="HR31" s="27" t="n"/>
      <c r="HS31" s="27" t="n"/>
      <c r="HT31" s="27" t="n"/>
      <c r="HU31" s="27" t="n"/>
      <c r="HV31" s="27" t="n"/>
      <c r="HW31" s="27" t="n"/>
      <c r="HX31" s="27" t="n"/>
      <c r="HY31" s="27" t="n"/>
      <c r="HZ31" s="27" t="n"/>
      <c r="IA31" s="27" t="n"/>
      <c r="IB31" s="27" t="n"/>
      <c r="IC31" s="27" t="n"/>
      <c r="ID31" s="27" t="n"/>
      <c r="IE31" s="27" t="n"/>
      <c r="IF31" s="27" t="n"/>
      <c r="IG31" s="27" t="n"/>
      <c r="IH31" s="27" t="n"/>
      <c r="II31" s="27" t="n"/>
      <c r="IJ31" s="27" t="n"/>
      <c r="IK31" s="27" t="n"/>
      <c r="IL31" s="27" t="n"/>
      <c r="IM31" s="27" t="n"/>
      <c r="IN31" s="27" t="n"/>
      <c r="IO31" s="27" t="n"/>
      <c r="IP31" s="27" t="n"/>
      <c r="IQ31" s="27" t="n"/>
      <c r="IR31" s="27" t="n"/>
      <c r="IS31" s="27" t="n"/>
      <c r="IT31" s="27" t="n"/>
      <c r="IU31" s="27" t="n"/>
      <c r="IV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  <c r="AA32" s="27" t="n"/>
      <c r="AB32" s="27" t="n"/>
      <c r="AC32" s="27" t="n"/>
      <c r="AD32" s="27" t="n"/>
      <c r="AE32" s="27" t="n"/>
      <c r="AF32" s="27" t="n"/>
      <c r="AG32" s="27" t="n"/>
      <c r="AH32" s="27" t="n"/>
      <c r="AI32" s="27" t="n"/>
      <c r="AJ32" s="27" t="n"/>
      <c r="AK32" s="27" t="n"/>
      <c r="AL32" s="27" t="n"/>
      <c r="AM32" s="27" t="n"/>
      <c r="AN32" s="27" t="n"/>
      <c r="AO32" s="27" t="n"/>
      <c r="AP32" s="27" t="n"/>
      <c r="AQ32" s="27" t="n"/>
      <c r="AR32" s="27" t="n"/>
      <c r="AS32" s="27" t="n"/>
      <c r="AT32" s="27" t="n"/>
      <c r="AU32" s="27" t="n"/>
      <c r="AV32" s="27" t="n"/>
      <c r="AW32" s="27" t="n"/>
      <c r="AX32" s="27" t="n"/>
      <c r="AY32" s="27" t="n"/>
      <c r="AZ32" s="27" t="n"/>
      <c r="BA32" s="27" t="n"/>
      <c r="BB32" s="27" t="n"/>
      <c r="BC32" s="27" t="n"/>
      <c r="BD32" s="27" t="n"/>
      <c r="BE32" s="27" t="n"/>
      <c r="BF32" s="27" t="n"/>
      <c r="BG32" s="27" t="n"/>
      <c r="BH32" s="27" t="n"/>
      <c r="BI32" s="27" t="n"/>
      <c r="BJ32" s="27" t="n"/>
      <c r="BK32" s="27" t="n"/>
      <c r="BL32" s="27" t="n"/>
      <c r="BM32" s="27" t="n"/>
      <c r="BN32" s="27" t="n"/>
      <c r="BO32" s="27" t="n"/>
      <c r="BP32" s="27" t="n"/>
      <c r="BQ32" s="27" t="n"/>
      <c r="BR32" s="27" t="n"/>
      <c r="BS32" s="27" t="n"/>
      <c r="BT32" s="27" t="n"/>
      <c r="BU32" s="27" t="n"/>
      <c r="BV32" s="27" t="n"/>
      <c r="BW32" s="27" t="n"/>
      <c r="BX32" s="27" t="n"/>
      <c r="BY32" s="27" t="n"/>
      <c r="BZ32" s="27" t="n"/>
      <c r="CA32" s="27" t="n"/>
      <c r="CB32" s="27" t="n"/>
      <c r="CC32" s="27" t="n"/>
      <c r="CD32" s="27" t="n"/>
      <c r="CE32" s="27" t="n"/>
      <c r="CF32" s="27" t="n"/>
      <c r="CG32" s="27" t="n"/>
      <c r="CH32" s="27" t="n"/>
      <c r="CI32" s="27" t="n"/>
      <c r="CJ32" s="27" t="n"/>
      <c r="CK32" s="27" t="n"/>
      <c r="CL32" s="27" t="n"/>
      <c r="CM32" s="27" t="n"/>
      <c r="CN32" s="27" t="n"/>
      <c r="CO32" s="27" t="n"/>
      <c r="CP32" s="27" t="n"/>
      <c r="CQ32" s="27" t="n"/>
      <c r="CR32" s="27" t="n"/>
      <c r="CS32" s="27" t="n"/>
      <c r="CT32" s="27" t="n"/>
      <c r="CU32" s="27" t="n"/>
      <c r="CV32" s="27" t="n"/>
      <c r="CW32" s="27" t="n"/>
      <c r="CX32" s="27" t="n"/>
      <c r="CY32" s="27" t="n"/>
      <c r="CZ32" s="27" t="n"/>
      <c r="DA32" s="27" t="n"/>
      <c r="DB32" s="27" t="n"/>
      <c r="DC32" s="27" t="n"/>
      <c r="DD32" s="27" t="n"/>
      <c r="DE32" s="27" t="n"/>
      <c r="DF32" s="27" t="n"/>
      <c r="DG32" s="27" t="n"/>
      <c r="DH32" s="27" t="n"/>
      <c r="DI32" s="27" t="n"/>
      <c r="DJ32" s="27" t="n"/>
      <c r="DK32" s="27" t="n"/>
      <c r="DL32" s="27" t="n"/>
      <c r="DM32" s="27" t="n"/>
      <c r="DN32" s="27" t="n"/>
      <c r="DO32" s="27" t="n"/>
      <c r="DP32" s="27" t="n"/>
      <c r="DQ32" s="27" t="n"/>
      <c r="DR32" s="27" t="n"/>
      <c r="DS32" s="27" t="n"/>
      <c r="DT32" s="27" t="n"/>
      <c r="DU32" s="27" t="n"/>
      <c r="DV32" s="27" t="n"/>
      <c r="DW32" s="27" t="n"/>
      <c r="DX32" s="27" t="n"/>
      <c r="DY32" s="27" t="n"/>
      <c r="DZ32" s="27" t="n"/>
      <c r="EA32" s="27" t="n"/>
      <c r="EB32" s="27" t="n"/>
      <c r="EC32" s="27" t="n"/>
      <c r="ED32" s="27" t="n"/>
      <c r="EE32" s="27" t="n"/>
      <c r="EF32" s="27" t="n"/>
      <c r="EG32" s="27" t="n"/>
      <c r="EH32" s="27" t="n"/>
      <c r="EI32" s="27" t="n"/>
      <c r="EJ32" s="27" t="n"/>
      <c r="EK32" s="27" t="n"/>
      <c r="EL32" s="27" t="n"/>
      <c r="EM32" s="27" t="n"/>
      <c r="EN32" s="27" t="n"/>
      <c r="EO32" s="27" t="n"/>
      <c r="EP32" s="27" t="n"/>
      <c r="EQ32" s="27" t="n"/>
      <c r="ER32" s="27" t="n"/>
      <c r="ES32" s="27" t="n"/>
      <c r="ET32" s="27" t="n"/>
      <c r="EU32" s="27" t="n"/>
      <c r="EV32" s="27" t="n"/>
      <c r="EW32" s="27" t="n"/>
      <c r="EX32" s="27" t="n"/>
      <c r="EY32" s="27" t="n"/>
      <c r="EZ32" s="27" t="n"/>
      <c r="FA32" s="27" t="n"/>
      <c r="FB32" s="27" t="n"/>
      <c r="FC32" s="27" t="n"/>
      <c r="FD32" s="27" t="n"/>
      <c r="FE32" s="27" t="n"/>
      <c r="FF32" s="27" t="n"/>
      <c r="FG32" s="27" t="n"/>
      <c r="FH32" s="27" t="n"/>
      <c r="FI32" s="27" t="n"/>
      <c r="FJ32" s="27" t="n"/>
      <c r="FK32" s="27" t="n"/>
      <c r="FL32" s="27" t="n"/>
      <c r="FM32" s="27" t="n"/>
      <c r="FN32" s="27" t="n"/>
      <c r="FO32" s="27" t="n"/>
      <c r="FP32" s="27" t="n"/>
      <c r="FQ32" s="27" t="n"/>
      <c r="FR32" s="27" t="n"/>
      <c r="FS32" s="27" t="n"/>
      <c r="FT32" s="27" t="n"/>
      <c r="FU32" s="27" t="n"/>
      <c r="FV32" s="27" t="n"/>
      <c r="FW32" s="27" t="n"/>
      <c r="FX32" s="27" t="n"/>
      <c r="FY32" s="27" t="n"/>
      <c r="FZ32" s="27" t="n"/>
      <c r="GA32" s="27" t="n"/>
      <c r="GB32" s="27" t="n"/>
      <c r="GC32" s="27" t="n"/>
      <c r="GD32" s="27" t="n"/>
      <c r="GE32" s="27" t="n"/>
      <c r="GF32" s="27" t="n"/>
      <c r="GG32" s="27" t="n"/>
      <c r="GH32" s="27" t="n"/>
      <c r="GI32" s="27" t="n"/>
      <c r="GJ32" s="27" t="n"/>
      <c r="GK32" s="27" t="n"/>
      <c r="GL32" s="27" t="n"/>
      <c r="GM32" s="27" t="n"/>
      <c r="GN32" s="27" t="n"/>
      <c r="GO32" s="27" t="n"/>
      <c r="GP32" s="27" t="n"/>
      <c r="GQ32" s="27" t="n"/>
      <c r="GR32" s="27" t="n"/>
      <c r="GS32" s="27" t="n"/>
      <c r="GT32" s="27" t="n"/>
      <c r="GU32" s="27" t="n"/>
      <c r="GV32" s="27" t="n"/>
      <c r="GW32" s="27" t="n"/>
      <c r="GX32" s="27" t="n"/>
      <c r="GY32" s="27" t="n"/>
      <c r="GZ32" s="27" t="n"/>
      <c r="HA32" s="27" t="n"/>
      <c r="HB32" s="27" t="n"/>
      <c r="HC32" s="27" t="n"/>
      <c r="HD32" s="27" t="n"/>
      <c r="HE32" s="27" t="n"/>
      <c r="HF32" s="27" t="n"/>
      <c r="HG32" s="27" t="n"/>
      <c r="HH32" s="27" t="n"/>
      <c r="HI32" s="27" t="n"/>
      <c r="HJ32" s="27" t="n"/>
      <c r="HK32" s="27" t="n"/>
      <c r="HL32" s="27" t="n"/>
      <c r="HM32" s="27" t="n"/>
      <c r="HN32" s="27" t="n"/>
      <c r="HO32" s="27" t="n"/>
      <c r="HP32" s="27" t="n"/>
      <c r="HQ32" s="27" t="n"/>
      <c r="HR32" s="27" t="n"/>
      <c r="HS32" s="27" t="n"/>
      <c r="HT32" s="27" t="n"/>
      <c r="HU32" s="27" t="n"/>
      <c r="HV32" s="27" t="n"/>
      <c r="HW32" s="27" t="n"/>
      <c r="HX32" s="27" t="n"/>
      <c r="HY32" s="27" t="n"/>
      <c r="HZ32" s="27" t="n"/>
      <c r="IA32" s="27" t="n"/>
      <c r="IB32" s="27" t="n"/>
      <c r="IC32" s="27" t="n"/>
      <c r="ID32" s="27" t="n"/>
      <c r="IE32" s="27" t="n"/>
      <c r="IF32" s="27" t="n"/>
      <c r="IG32" s="27" t="n"/>
      <c r="IH32" s="27" t="n"/>
      <c r="II32" s="27" t="n"/>
      <c r="IJ32" s="27" t="n"/>
      <c r="IK32" s="27" t="n"/>
      <c r="IL32" s="27" t="n"/>
      <c r="IM32" s="27" t="n"/>
      <c r="IN32" s="27" t="n"/>
      <c r="IO32" s="27" t="n"/>
      <c r="IP32" s="27" t="n"/>
      <c r="IQ32" s="27" t="n"/>
      <c r="IR32" s="27" t="n"/>
      <c r="IS32" s="27" t="n"/>
      <c r="IT32" s="27" t="n"/>
      <c r="IU32" s="27" t="n"/>
      <c r="IV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  <c r="AA33" s="27" t="n"/>
      <c r="AB33" s="27" t="n"/>
      <c r="AC33" s="27" t="n"/>
      <c r="AD33" s="27" t="n"/>
      <c r="AE33" s="27" t="n"/>
      <c r="AF33" s="27" t="n"/>
      <c r="AG33" s="27" t="n"/>
      <c r="AH33" s="27" t="n"/>
      <c r="AI33" s="27" t="n"/>
      <c r="AJ33" s="27" t="n"/>
      <c r="AK33" s="27" t="n"/>
      <c r="AL33" s="27" t="n"/>
      <c r="AM33" s="27" t="n"/>
      <c r="AN33" s="27" t="n"/>
      <c r="AO33" s="27" t="n"/>
      <c r="AP33" s="27" t="n"/>
      <c r="AQ33" s="27" t="n"/>
      <c r="AR33" s="27" t="n"/>
      <c r="AS33" s="27" t="n"/>
      <c r="AT33" s="27" t="n"/>
      <c r="AU33" s="27" t="n"/>
      <c r="AV33" s="27" t="n"/>
      <c r="AW33" s="27" t="n"/>
      <c r="AX33" s="27" t="n"/>
      <c r="AY33" s="27" t="n"/>
      <c r="AZ33" s="27" t="n"/>
      <c r="BA33" s="27" t="n"/>
      <c r="BB33" s="27" t="n"/>
      <c r="BC33" s="27" t="n"/>
      <c r="BD33" s="27" t="n"/>
      <c r="BE33" s="27" t="n"/>
      <c r="BF33" s="27" t="n"/>
      <c r="BG33" s="27" t="n"/>
      <c r="BH33" s="27" t="n"/>
      <c r="BI33" s="27" t="n"/>
      <c r="BJ33" s="27" t="n"/>
      <c r="BK33" s="27" t="n"/>
      <c r="BL33" s="27" t="n"/>
      <c r="BM33" s="27" t="n"/>
      <c r="BN33" s="27" t="n"/>
      <c r="BO33" s="27" t="n"/>
      <c r="BP33" s="27" t="n"/>
      <c r="BQ33" s="27" t="n"/>
      <c r="BR33" s="27" t="n"/>
      <c r="BS33" s="27" t="n"/>
      <c r="BT33" s="27" t="n"/>
      <c r="BU33" s="27" t="n"/>
      <c r="BV33" s="27" t="n"/>
      <c r="BW33" s="27" t="n"/>
      <c r="BX33" s="27" t="n"/>
      <c r="BY33" s="27" t="n"/>
      <c r="BZ33" s="27" t="n"/>
      <c r="CA33" s="27" t="n"/>
      <c r="CB33" s="27" t="n"/>
      <c r="CC33" s="27" t="n"/>
      <c r="CD33" s="27" t="n"/>
      <c r="CE33" s="27" t="n"/>
      <c r="CF33" s="27" t="n"/>
      <c r="CG33" s="27" t="n"/>
      <c r="CH33" s="27" t="n"/>
      <c r="CI33" s="27" t="n"/>
      <c r="CJ33" s="27" t="n"/>
      <c r="CK33" s="27" t="n"/>
      <c r="CL33" s="27" t="n"/>
      <c r="CM33" s="27" t="n"/>
      <c r="CN33" s="27" t="n"/>
      <c r="CO33" s="27" t="n"/>
      <c r="CP33" s="27" t="n"/>
      <c r="CQ33" s="27" t="n"/>
      <c r="CR33" s="27" t="n"/>
      <c r="CS33" s="27" t="n"/>
      <c r="CT33" s="27" t="n"/>
      <c r="CU33" s="27" t="n"/>
      <c r="CV33" s="27" t="n"/>
      <c r="CW33" s="27" t="n"/>
      <c r="CX33" s="27" t="n"/>
      <c r="CY33" s="27" t="n"/>
      <c r="CZ33" s="27" t="n"/>
      <c r="DA33" s="27" t="n"/>
      <c r="DB33" s="27" t="n"/>
      <c r="DC33" s="27" t="n"/>
      <c r="DD33" s="27" t="n"/>
      <c r="DE33" s="27" t="n"/>
      <c r="DF33" s="27" t="n"/>
      <c r="DG33" s="27" t="n"/>
      <c r="DH33" s="27" t="n"/>
      <c r="DI33" s="27" t="n"/>
      <c r="DJ33" s="27" t="n"/>
      <c r="DK33" s="27" t="n"/>
      <c r="DL33" s="27" t="n"/>
      <c r="DM33" s="27" t="n"/>
      <c r="DN33" s="27" t="n"/>
      <c r="DO33" s="27" t="n"/>
      <c r="DP33" s="27" t="n"/>
      <c r="DQ33" s="27" t="n"/>
      <c r="DR33" s="27" t="n"/>
      <c r="DS33" s="27" t="n"/>
      <c r="DT33" s="27" t="n"/>
      <c r="DU33" s="27" t="n"/>
      <c r="DV33" s="27" t="n"/>
      <c r="DW33" s="27" t="n"/>
      <c r="DX33" s="27" t="n"/>
      <c r="DY33" s="27" t="n"/>
      <c r="DZ33" s="27" t="n"/>
      <c r="EA33" s="27" t="n"/>
      <c r="EB33" s="27" t="n"/>
      <c r="EC33" s="27" t="n"/>
      <c r="ED33" s="27" t="n"/>
      <c r="EE33" s="27" t="n"/>
      <c r="EF33" s="27" t="n"/>
      <c r="EG33" s="27" t="n"/>
      <c r="EH33" s="27" t="n"/>
      <c r="EI33" s="27" t="n"/>
      <c r="EJ33" s="27" t="n"/>
      <c r="EK33" s="27" t="n"/>
      <c r="EL33" s="27" t="n"/>
      <c r="EM33" s="27" t="n"/>
      <c r="EN33" s="27" t="n"/>
      <c r="EO33" s="27" t="n"/>
      <c r="EP33" s="27" t="n"/>
      <c r="EQ33" s="27" t="n"/>
      <c r="ER33" s="27" t="n"/>
      <c r="ES33" s="27" t="n"/>
      <c r="ET33" s="27" t="n"/>
      <c r="EU33" s="27" t="n"/>
      <c r="EV33" s="27" t="n"/>
      <c r="EW33" s="27" t="n"/>
      <c r="EX33" s="27" t="n"/>
      <c r="EY33" s="27" t="n"/>
      <c r="EZ33" s="27" t="n"/>
      <c r="FA33" s="27" t="n"/>
      <c r="FB33" s="27" t="n"/>
      <c r="FC33" s="27" t="n"/>
      <c r="FD33" s="27" t="n"/>
      <c r="FE33" s="27" t="n"/>
      <c r="FF33" s="27" t="n"/>
      <c r="FG33" s="27" t="n"/>
      <c r="FH33" s="27" t="n"/>
      <c r="FI33" s="27" t="n"/>
      <c r="FJ33" s="27" t="n"/>
      <c r="FK33" s="27" t="n"/>
      <c r="FL33" s="27" t="n"/>
      <c r="FM33" s="27" t="n"/>
      <c r="FN33" s="27" t="n"/>
      <c r="FO33" s="27" t="n"/>
      <c r="FP33" s="27" t="n"/>
      <c r="FQ33" s="27" t="n"/>
      <c r="FR33" s="27" t="n"/>
      <c r="FS33" s="27" t="n"/>
      <c r="FT33" s="27" t="n"/>
      <c r="FU33" s="27" t="n"/>
      <c r="FV33" s="27" t="n"/>
      <c r="FW33" s="27" t="n"/>
      <c r="FX33" s="27" t="n"/>
      <c r="FY33" s="27" t="n"/>
      <c r="FZ33" s="27" t="n"/>
      <c r="GA33" s="27" t="n"/>
      <c r="GB33" s="27" t="n"/>
      <c r="GC33" s="27" t="n"/>
      <c r="GD33" s="27" t="n"/>
      <c r="GE33" s="27" t="n"/>
      <c r="GF33" s="27" t="n"/>
      <c r="GG33" s="27" t="n"/>
      <c r="GH33" s="27" t="n"/>
      <c r="GI33" s="27" t="n"/>
      <c r="GJ33" s="27" t="n"/>
      <c r="GK33" s="27" t="n"/>
      <c r="GL33" s="27" t="n"/>
      <c r="GM33" s="27" t="n"/>
      <c r="GN33" s="27" t="n"/>
      <c r="GO33" s="27" t="n"/>
      <c r="GP33" s="27" t="n"/>
      <c r="GQ33" s="27" t="n"/>
      <c r="GR33" s="27" t="n"/>
      <c r="GS33" s="27" t="n"/>
      <c r="GT33" s="27" t="n"/>
      <c r="GU33" s="27" t="n"/>
      <c r="GV33" s="27" t="n"/>
      <c r="GW33" s="27" t="n"/>
      <c r="GX33" s="27" t="n"/>
      <c r="GY33" s="27" t="n"/>
      <c r="GZ33" s="27" t="n"/>
      <c r="HA33" s="27" t="n"/>
      <c r="HB33" s="27" t="n"/>
      <c r="HC33" s="27" t="n"/>
      <c r="HD33" s="27" t="n"/>
      <c r="HE33" s="27" t="n"/>
      <c r="HF33" s="27" t="n"/>
      <c r="HG33" s="27" t="n"/>
      <c r="HH33" s="27" t="n"/>
      <c r="HI33" s="27" t="n"/>
      <c r="HJ33" s="27" t="n"/>
      <c r="HK33" s="27" t="n"/>
      <c r="HL33" s="27" t="n"/>
      <c r="HM33" s="27" t="n"/>
      <c r="HN33" s="27" t="n"/>
      <c r="HO33" s="27" t="n"/>
      <c r="HP33" s="27" t="n"/>
      <c r="HQ33" s="27" t="n"/>
      <c r="HR33" s="27" t="n"/>
      <c r="HS33" s="27" t="n"/>
      <c r="HT33" s="27" t="n"/>
      <c r="HU33" s="27" t="n"/>
      <c r="HV33" s="27" t="n"/>
      <c r="HW33" s="27" t="n"/>
      <c r="HX33" s="27" t="n"/>
      <c r="HY33" s="27" t="n"/>
      <c r="HZ33" s="27" t="n"/>
      <c r="IA33" s="27" t="n"/>
      <c r="IB33" s="27" t="n"/>
      <c r="IC33" s="27" t="n"/>
      <c r="ID33" s="27" t="n"/>
      <c r="IE33" s="27" t="n"/>
      <c r="IF33" s="27" t="n"/>
      <c r="IG33" s="27" t="n"/>
      <c r="IH33" s="27" t="n"/>
      <c r="II33" s="27" t="n"/>
      <c r="IJ33" s="27" t="n"/>
      <c r="IK33" s="27" t="n"/>
      <c r="IL33" s="27" t="n"/>
      <c r="IM33" s="27" t="n"/>
      <c r="IN33" s="27" t="n"/>
      <c r="IO33" s="27" t="n"/>
      <c r="IP33" s="27" t="n"/>
      <c r="IQ33" s="27" t="n"/>
      <c r="IR33" s="27" t="n"/>
      <c r="IS33" s="27" t="n"/>
      <c r="IT33" s="27" t="n"/>
      <c r="IU33" s="27" t="n"/>
      <c r="IV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  <c r="AA34" s="27" t="n"/>
      <c r="AB34" s="27" t="n"/>
      <c r="AC34" s="27" t="n"/>
      <c r="AD34" s="27" t="n"/>
      <c r="AE34" s="27" t="n"/>
      <c r="AF34" s="27" t="n"/>
      <c r="AG34" s="27" t="n"/>
      <c r="AH34" s="27" t="n"/>
      <c r="AI34" s="27" t="n"/>
      <c r="AJ34" s="27" t="n"/>
      <c r="AK34" s="27" t="n"/>
      <c r="AL34" s="27" t="n"/>
      <c r="AM34" s="27" t="n"/>
      <c r="AN34" s="27" t="n"/>
      <c r="AO34" s="27" t="n"/>
      <c r="AP34" s="27" t="n"/>
      <c r="AQ34" s="27" t="n"/>
      <c r="AR34" s="27" t="n"/>
      <c r="AS34" s="27" t="n"/>
      <c r="AT34" s="27" t="n"/>
      <c r="AU34" s="27" t="n"/>
      <c r="AV34" s="27" t="n"/>
      <c r="AW34" s="27" t="n"/>
      <c r="AX34" s="27" t="n"/>
      <c r="AY34" s="27" t="n"/>
      <c r="AZ34" s="27" t="n"/>
      <c r="BA34" s="27" t="n"/>
      <c r="BB34" s="27" t="n"/>
      <c r="BC34" s="27" t="n"/>
      <c r="BD34" s="27" t="n"/>
      <c r="BE34" s="27" t="n"/>
      <c r="BF34" s="27" t="n"/>
      <c r="BG34" s="27" t="n"/>
      <c r="BH34" s="27" t="n"/>
      <c r="BI34" s="27" t="n"/>
      <c r="BJ34" s="27" t="n"/>
      <c r="BK34" s="27" t="n"/>
      <c r="BL34" s="27" t="n"/>
      <c r="BM34" s="27" t="n"/>
      <c r="BN34" s="27" t="n"/>
      <c r="BO34" s="27" t="n"/>
      <c r="BP34" s="27" t="n"/>
      <c r="BQ34" s="27" t="n"/>
      <c r="BR34" s="27" t="n"/>
      <c r="BS34" s="27" t="n"/>
      <c r="BT34" s="27" t="n"/>
      <c r="BU34" s="27" t="n"/>
      <c r="BV34" s="27" t="n"/>
      <c r="BW34" s="27" t="n"/>
      <c r="BX34" s="27" t="n"/>
      <c r="BY34" s="27" t="n"/>
      <c r="BZ34" s="27" t="n"/>
      <c r="CA34" s="27" t="n"/>
      <c r="CB34" s="27" t="n"/>
      <c r="CC34" s="27" t="n"/>
      <c r="CD34" s="27" t="n"/>
      <c r="CE34" s="27" t="n"/>
      <c r="CF34" s="27" t="n"/>
      <c r="CG34" s="27" t="n"/>
      <c r="CH34" s="27" t="n"/>
      <c r="CI34" s="27" t="n"/>
      <c r="CJ34" s="27" t="n"/>
      <c r="CK34" s="27" t="n"/>
      <c r="CL34" s="27" t="n"/>
      <c r="CM34" s="27" t="n"/>
      <c r="CN34" s="27" t="n"/>
      <c r="CO34" s="27" t="n"/>
      <c r="CP34" s="27" t="n"/>
      <c r="CQ34" s="27" t="n"/>
      <c r="CR34" s="27" t="n"/>
      <c r="CS34" s="27" t="n"/>
      <c r="CT34" s="27" t="n"/>
      <c r="CU34" s="27" t="n"/>
      <c r="CV34" s="27" t="n"/>
      <c r="CW34" s="27" t="n"/>
      <c r="CX34" s="27" t="n"/>
      <c r="CY34" s="27" t="n"/>
      <c r="CZ34" s="27" t="n"/>
      <c r="DA34" s="27" t="n"/>
      <c r="DB34" s="27" t="n"/>
      <c r="DC34" s="27" t="n"/>
      <c r="DD34" s="27" t="n"/>
      <c r="DE34" s="27" t="n"/>
      <c r="DF34" s="27" t="n"/>
      <c r="DG34" s="27" t="n"/>
      <c r="DH34" s="27" t="n"/>
      <c r="DI34" s="27" t="n"/>
      <c r="DJ34" s="27" t="n"/>
      <c r="DK34" s="27" t="n"/>
      <c r="DL34" s="27" t="n"/>
      <c r="DM34" s="27" t="n"/>
      <c r="DN34" s="27" t="n"/>
      <c r="DO34" s="27" t="n"/>
      <c r="DP34" s="27" t="n"/>
      <c r="DQ34" s="27" t="n"/>
      <c r="DR34" s="27" t="n"/>
      <c r="DS34" s="27" t="n"/>
      <c r="DT34" s="27" t="n"/>
      <c r="DU34" s="27" t="n"/>
      <c r="DV34" s="27" t="n"/>
      <c r="DW34" s="27" t="n"/>
      <c r="DX34" s="27" t="n"/>
      <c r="DY34" s="27" t="n"/>
      <c r="DZ34" s="27" t="n"/>
      <c r="EA34" s="27" t="n"/>
      <c r="EB34" s="27" t="n"/>
      <c r="EC34" s="27" t="n"/>
      <c r="ED34" s="27" t="n"/>
      <c r="EE34" s="27" t="n"/>
      <c r="EF34" s="27" t="n"/>
      <c r="EG34" s="27" t="n"/>
      <c r="EH34" s="27" t="n"/>
      <c r="EI34" s="27" t="n"/>
      <c r="EJ34" s="27" t="n"/>
      <c r="EK34" s="27" t="n"/>
      <c r="EL34" s="27" t="n"/>
      <c r="EM34" s="27" t="n"/>
      <c r="EN34" s="27" t="n"/>
      <c r="EO34" s="27" t="n"/>
      <c r="EP34" s="27" t="n"/>
      <c r="EQ34" s="27" t="n"/>
      <c r="ER34" s="27" t="n"/>
      <c r="ES34" s="27" t="n"/>
      <c r="ET34" s="27" t="n"/>
      <c r="EU34" s="27" t="n"/>
      <c r="EV34" s="27" t="n"/>
      <c r="EW34" s="27" t="n"/>
      <c r="EX34" s="27" t="n"/>
      <c r="EY34" s="27" t="n"/>
      <c r="EZ34" s="27" t="n"/>
      <c r="FA34" s="27" t="n"/>
      <c r="FB34" s="27" t="n"/>
      <c r="FC34" s="27" t="n"/>
      <c r="FD34" s="27" t="n"/>
      <c r="FE34" s="27" t="n"/>
      <c r="FF34" s="27" t="n"/>
      <c r="FG34" s="27" t="n"/>
      <c r="FH34" s="27" t="n"/>
      <c r="FI34" s="27" t="n"/>
      <c r="FJ34" s="27" t="n"/>
      <c r="FK34" s="27" t="n"/>
      <c r="FL34" s="27" t="n"/>
      <c r="FM34" s="27" t="n"/>
      <c r="FN34" s="27" t="n"/>
      <c r="FO34" s="27" t="n"/>
      <c r="FP34" s="27" t="n"/>
      <c r="FQ34" s="27" t="n"/>
      <c r="FR34" s="27" t="n"/>
      <c r="FS34" s="27" t="n"/>
      <c r="FT34" s="27" t="n"/>
      <c r="FU34" s="27" t="n"/>
      <c r="FV34" s="27" t="n"/>
      <c r="FW34" s="27" t="n"/>
      <c r="FX34" s="27" t="n"/>
      <c r="FY34" s="27" t="n"/>
      <c r="FZ34" s="27" t="n"/>
      <c r="GA34" s="27" t="n"/>
      <c r="GB34" s="27" t="n"/>
      <c r="GC34" s="27" t="n"/>
      <c r="GD34" s="27" t="n"/>
      <c r="GE34" s="27" t="n"/>
      <c r="GF34" s="27" t="n"/>
      <c r="GG34" s="27" t="n"/>
      <c r="GH34" s="27" t="n"/>
      <c r="GI34" s="27" t="n"/>
      <c r="GJ34" s="27" t="n"/>
      <c r="GK34" s="27" t="n"/>
      <c r="GL34" s="27" t="n"/>
      <c r="GM34" s="27" t="n"/>
      <c r="GN34" s="27" t="n"/>
      <c r="GO34" s="27" t="n"/>
      <c r="GP34" s="27" t="n"/>
      <c r="GQ34" s="27" t="n"/>
      <c r="GR34" s="27" t="n"/>
      <c r="GS34" s="27" t="n"/>
      <c r="GT34" s="27" t="n"/>
      <c r="GU34" s="27" t="n"/>
      <c r="GV34" s="27" t="n"/>
      <c r="GW34" s="27" t="n"/>
      <c r="GX34" s="27" t="n"/>
      <c r="GY34" s="27" t="n"/>
      <c r="GZ34" s="27" t="n"/>
      <c r="HA34" s="27" t="n"/>
      <c r="HB34" s="27" t="n"/>
      <c r="HC34" s="27" t="n"/>
      <c r="HD34" s="27" t="n"/>
      <c r="HE34" s="27" t="n"/>
      <c r="HF34" s="27" t="n"/>
      <c r="HG34" s="27" t="n"/>
      <c r="HH34" s="27" t="n"/>
      <c r="HI34" s="27" t="n"/>
      <c r="HJ34" s="27" t="n"/>
      <c r="HK34" s="27" t="n"/>
      <c r="HL34" s="27" t="n"/>
      <c r="HM34" s="27" t="n"/>
      <c r="HN34" s="27" t="n"/>
      <c r="HO34" s="27" t="n"/>
      <c r="HP34" s="27" t="n"/>
      <c r="HQ34" s="27" t="n"/>
      <c r="HR34" s="27" t="n"/>
      <c r="HS34" s="27" t="n"/>
      <c r="HT34" s="27" t="n"/>
      <c r="HU34" s="27" t="n"/>
      <c r="HV34" s="27" t="n"/>
      <c r="HW34" s="27" t="n"/>
      <c r="HX34" s="27" t="n"/>
      <c r="HY34" s="27" t="n"/>
      <c r="HZ34" s="27" t="n"/>
      <c r="IA34" s="27" t="n"/>
      <c r="IB34" s="27" t="n"/>
      <c r="IC34" s="27" t="n"/>
      <c r="ID34" s="27" t="n"/>
      <c r="IE34" s="27" t="n"/>
      <c r="IF34" s="27" t="n"/>
      <c r="IG34" s="27" t="n"/>
      <c r="IH34" s="27" t="n"/>
      <c r="II34" s="27" t="n"/>
      <c r="IJ34" s="27" t="n"/>
      <c r="IK34" s="27" t="n"/>
      <c r="IL34" s="27" t="n"/>
      <c r="IM34" s="27" t="n"/>
      <c r="IN34" s="27" t="n"/>
      <c r="IO34" s="27" t="n"/>
      <c r="IP34" s="27" t="n"/>
      <c r="IQ34" s="27" t="n"/>
      <c r="IR34" s="27" t="n"/>
      <c r="IS34" s="27" t="n"/>
      <c r="IT34" s="27" t="n"/>
      <c r="IU34" s="27" t="n"/>
      <c r="IV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  <c r="AA35" s="27" t="n"/>
      <c r="AB35" s="27" t="n"/>
      <c r="AC35" s="27" t="n"/>
      <c r="AD35" s="27" t="n"/>
      <c r="AE35" s="27" t="n"/>
      <c r="AF35" s="27" t="n"/>
      <c r="AG35" s="27" t="n"/>
      <c r="AH35" s="27" t="n"/>
      <c r="AI35" s="27" t="n"/>
      <c r="AJ35" s="27" t="n"/>
      <c r="AK35" s="27" t="n"/>
      <c r="AL35" s="27" t="n"/>
      <c r="AM35" s="27" t="n"/>
      <c r="AN35" s="27" t="n"/>
      <c r="AO35" s="27" t="n"/>
      <c r="AP35" s="27" t="n"/>
      <c r="AQ35" s="27" t="n"/>
      <c r="AR35" s="27" t="n"/>
      <c r="AS35" s="27" t="n"/>
      <c r="AT35" s="27" t="n"/>
      <c r="AU35" s="27" t="n"/>
      <c r="AV35" s="27" t="n"/>
      <c r="AW35" s="27" t="n"/>
      <c r="AX35" s="27" t="n"/>
      <c r="AY35" s="27" t="n"/>
      <c r="AZ35" s="27" t="n"/>
      <c r="BA35" s="27" t="n"/>
      <c r="BB35" s="27" t="n"/>
      <c r="BC35" s="27" t="n"/>
      <c r="BD35" s="27" t="n"/>
      <c r="BE35" s="27" t="n"/>
      <c r="BF35" s="27" t="n"/>
      <c r="BG35" s="27" t="n"/>
      <c r="BH35" s="27" t="n"/>
      <c r="BI35" s="27" t="n"/>
      <c r="BJ35" s="27" t="n"/>
      <c r="BK35" s="27" t="n"/>
      <c r="BL35" s="27" t="n"/>
      <c r="BM35" s="27" t="n"/>
      <c r="BN35" s="27" t="n"/>
      <c r="BO35" s="27" t="n"/>
      <c r="BP35" s="27" t="n"/>
      <c r="BQ35" s="27" t="n"/>
      <c r="BR35" s="27" t="n"/>
      <c r="BS35" s="27" t="n"/>
      <c r="BT35" s="27" t="n"/>
      <c r="BU35" s="27" t="n"/>
      <c r="BV35" s="27" t="n"/>
      <c r="BW35" s="27" t="n"/>
      <c r="BX35" s="27" t="n"/>
      <c r="BY35" s="27" t="n"/>
      <c r="BZ35" s="27" t="n"/>
      <c r="CA35" s="27" t="n"/>
      <c r="CB35" s="27" t="n"/>
      <c r="CC35" s="27" t="n"/>
      <c r="CD35" s="27" t="n"/>
      <c r="CE35" s="27" t="n"/>
      <c r="CF35" s="27" t="n"/>
      <c r="CG35" s="27" t="n"/>
      <c r="CH35" s="27" t="n"/>
      <c r="CI35" s="27" t="n"/>
      <c r="CJ35" s="27" t="n"/>
      <c r="CK35" s="27" t="n"/>
      <c r="CL35" s="27" t="n"/>
      <c r="CM35" s="27" t="n"/>
      <c r="CN35" s="27" t="n"/>
      <c r="CO35" s="27" t="n"/>
      <c r="CP35" s="27" t="n"/>
      <c r="CQ35" s="27" t="n"/>
      <c r="CR35" s="27" t="n"/>
      <c r="CS35" s="27" t="n"/>
      <c r="CT35" s="27" t="n"/>
      <c r="CU35" s="27" t="n"/>
      <c r="CV35" s="27" t="n"/>
      <c r="CW35" s="27" t="n"/>
      <c r="CX35" s="27" t="n"/>
      <c r="CY35" s="27" t="n"/>
      <c r="CZ35" s="27" t="n"/>
      <c r="DA35" s="27" t="n"/>
      <c r="DB35" s="27" t="n"/>
      <c r="DC35" s="27" t="n"/>
      <c r="DD35" s="27" t="n"/>
      <c r="DE35" s="27" t="n"/>
      <c r="DF35" s="27" t="n"/>
      <c r="DG35" s="27" t="n"/>
      <c r="DH35" s="27" t="n"/>
      <c r="DI35" s="27" t="n"/>
      <c r="DJ35" s="27" t="n"/>
      <c r="DK35" s="27" t="n"/>
      <c r="DL35" s="27" t="n"/>
      <c r="DM35" s="27" t="n"/>
      <c r="DN35" s="27" t="n"/>
      <c r="DO35" s="27" t="n"/>
      <c r="DP35" s="27" t="n"/>
      <c r="DQ35" s="27" t="n"/>
      <c r="DR35" s="27" t="n"/>
      <c r="DS35" s="27" t="n"/>
      <c r="DT35" s="27" t="n"/>
      <c r="DU35" s="27" t="n"/>
      <c r="DV35" s="27" t="n"/>
      <c r="DW35" s="27" t="n"/>
      <c r="DX35" s="27" t="n"/>
      <c r="DY35" s="27" t="n"/>
      <c r="DZ35" s="27" t="n"/>
      <c r="EA35" s="27" t="n"/>
      <c r="EB35" s="27" t="n"/>
      <c r="EC35" s="27" t="n"/>
      <c r="ED35" s="27" t="n"/>
      <c r="EE35" s="27" t="n"/>
      <c r="EF35" s="27" t="n"/>
      <c r="EG35" s="27" t="n"/>
      <c r="EH35" s="27" t="n"/>
      <c r="EI35" s="27" t="n"/>
      <c r="EJ35" s="27" t="n"/>
      <c r="EK35" s="27" t="n"/>
      <c r="EL35" s="27" t="n"/>
      <c r="EM35" s="27" t="n"/>
      <c r="EN35" s="27" t="n"/>
      <c r="EO35" s="27" t="n"/>
      <c r="EP35" s="27" t="n"/>
      <c r="EQ35" s="27" t="n"/>
      <c r="ER35" s="27" t="n"/>
      <c r="ES35" s="27" t="n"/>
      <c r="ET35" s="27" t="n"/>
      <c r="EU35" s="27" t="n"/>
      <c r="EV35" s="27" t="n"/>
      <c r="EW35" s="27" t="n"/>
      <c r="EX35" s="27" t="n"/>
      <c r="EY35" s="27" t="n"/>
      <c r="EZ35" s="27" t="n"/>
      <c r="FA35" s="27" t="n"/>
      <c r="FB35" s="27" t="n"/>
      <c r="FC35" s="27" t="n"/>
      <c r="FD35" s="27" t="n"/>
      <c r="FE35" s="27" t="n"/>
      <c r="FF35" s="27" t="n"/>
      <c r="FG35" s="27" t="n"/>
      <c r="FH35" s="27" t="n"/>
      <c r="FI35" s="27" t="n"/>
      <c r="FJ35" s="27" t="n"/>
      <c r="FK35" s="27" t="n"/>
      <c r="FL35" s="27" t="n"/>
      <c r="FM35" s="27" t="n"/>
      <c r="FN35" s="27" t="n"/>
      <c r="FO35" s="27" t="n"/>
      <c r="FP35" s="27" t="n"/>
      <c r="FQ35" s="27" t="n"/>
      <c r="FR35" s="27" t="n"/>
      <c r="FS35" s="27" t="n"/>
      <c r="FT35" s="27" t="n"/>
      <c r="FU35" s="27" t="n"/>
      <c r="FV35" s="27" t="n"/>
      <c r="FW35" s="27" t="n"/>
      <c r="FX35" s="27" t="n"/>
      <c r="FY35" s="27" t="n"/>
      <c r="FZ35" s="27" t="n"/>
      <c r="GA35" s="27" t="n"/>
      <c r="GB35" s="27" t="n"/>
      <c r="GC35" s="27" t="n"/>
      <c r="GD35" s="27" t="n"/>
      <c r="GE35" s="27" t="n"/>
      <c r="GF35" s="27" t="n"/>
      <c r="GG35" s="27" t="n"/>
      <c r="GH35" s="27" t="n"/>
      <c r="GI35" s="27" t="n"/>
      <c r="GJ35" s="27" t="n"/>
      <c r="GK35" s="27" t="n"/>
      <c r="GL35" s="27" t="n"/>
      <c r="GM35" s="27" t="n"/>
      <c r="GN35" s="27" t="n"/>
      <c r="GO35" s="27" t="n"/>
      <c r="GP35" s="27" t="n"/>
      <c r="GQ35" s="27" t="n"/>
      <c r="GR35" s="27" t="n"/>
      <c r="GS35" s="27" t="n"/>
      <c r="GT35" s="27" t="n"/>
      <c r="GU35" s="27" t="n"/>
      <c r="GV35" s="27" t="n"/>
      <c r="GW35" s="27" t="n"/>
      <c r="GX35" s="27" t="n"/>
      <c r="GY35" s="27" t="n"/>
      <c r="GZ35" s="27" t="n"/>
      <c r="HA35" s="27" t="n"/>
      <c r="HB35" s="27" t="n"/>
      <c r="HC35" s="27" t="n"/>
      <c r="HD35" s="27" t="n"/>
      <c r="HE35" s="27" t="n"/>
      <c r="HF35" s="27" t="n"/>
      <c r="HG35" s="27" t="n"/>
      <c r="HH35" s="27" t="n"/>
      <c r="HI35" s="27" t="n"/>
      <c r="HJ35" s="27" t="n"/>
      <c r="HK35" s="27" t="n"/>
      <c r="HL35" s="27" t="n"/>
      <c r="HM35" s="27" t="n"/>
      <c r="HN35" s="27" t="n"/>
      <c r="HO35" s="27" t="n"/>
      <c r="HP35" s="27" t="n"/>
      <c r="HQ35" s="27" t="n"/>
      <c r="HR35" s="27" t="n"/>
      <c r="HS35" s="27" t="n"/>
      <c r="HT35" s="27" t="n"/>
      <c r="HU35" s="27" t="n"/>
      <c r="HV35" s="27" t="n"/>
      <c r="HW35" s="27" t="n"/>
      <c r="HX35" s="27" t="n"/>
      <c r="HY35" s="27" t="n"/>
      <c r="HZ35" s="27" t="n"/>
      <c r="IA35" s="27" t="n"/>
      <c r="IB35" s="27" t="n"/>
      <c r="IC35" s="27" t="n"/>
      <c r="ID35" s="27" t="n"/>
      <c r="IE35" s="27" t="n"/>
      <c r="IF35" s="27" t="n"/>
      <c r="IG35" s="27" t="n"/>
      <c r="IH35" s="27" t="n"/>
      <c r="II35" s="27" t="n"/>
      <c r="IJ35" s="27" t="n"/>
      <c r="IK35" s="27" t="n"/>
      <c r="IL35" s="27" t="n"/>
      <c r="IM35" s="27" t="n"/>
      <c r="IN35" s="27" t="n"/>
      <c r="IO35" s="27" t="n"/>
      <c r="IP35" s="27" t="n"/>
      <c r="IQ35" s="27" t="n"/>
      <c r="IR35" s="27" t="n"/>
      <c r="IS35" s="27" t="n"/>
      <c r="IT35" s="27" t="n"/>
      <c r="IU35" s="27" t="n"/>
      <c r="IV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  <c r="AA36" s="27" t="n"/>
      <c r="AB36" s="27" t="n"/>
      <c r="AC36" s="27" t="n"/>
      <c r="AD36" s="27" t="n"/>
      <c r="AE36" s="27" t="n"/>
      <c r="AF36" s="27" t="n"/>
      <c r="AG36" s="27" t="n"/>
      <c r="AH36" s="27" t="n"/>
      <c r="AI36" s="27" t="n"/>
      <c r="AJ36" s="27" t="n"/>
      <c r="AK36" s="27" t="n"/>
      <c r="AL36" s="27" t="n"/>
      <c r="AM36" s="27" t="n"/>
      <c r="AN36" s="27" t="n"/>
      <c r="AO36" s="27" t="n"/>
      <c r="AP36" s="27" t="n"/>
      <c r="AQ36" s="27" t="n"/>
      <c r="AR36" s="27" t="n"/>
      <c r="AS36" s="27" t="n"/>
      <c r="AT36" s="27" t="n"/>
      <c r="AU36" s="27" t="n"/>
      <c r="AV36" s="27" t="n"/>
      <c r="AW36" s="27" t="n"/>
      <c r="AX36" s="27" t="n"/>
      <c r="AY36" s="27" t="n"/>
      <c r="AZ36" s="27" t="n"/>
      <c r="BA36" s="27" t="n"/>
      <c r="BB36" s="27" t="n"/>
      <c r="BC36" s="27" t="n"/>
      <c r="BD36" s="27" t="n"/>
      <c r="BE36" s="27" t="n"/>
      <c r="BF36" s="27" t="n"/>
      <c r="BG36" s="27" t="n"/>
      <c r="BH36" s="27" t="n"/>
      <c r="BI36" s="27" t="n"/>
      <c r="BJ36" s="27" t="n"/>
      <c r="BK36" s="27" t="n"/>
      <c r="BL36" s="27" t="n"/>
      <c r="BM36" s="27" t="n"/>
      <c r="BN36" s="27" t="n"/>
      <c r="BO36" s="27" t="n"/>
      <c r="BP36" s="27" t="n"/>
      <c r="BQ36" s="27" t="n"/>
      <c r="BR36" s="27" t="n"/>
      <c r="BS36" s="27" t="n"/>
      <c r="BT36" s="27" t="n"/>
      <c r="BU36" s="27" t="n"/>
      <c r="BV36" s="27" t="n"/>
      <c r="BW36" s="27" t="n"/>
      <c r="BX36" s="27" t="n"/>
      <c r="BY36" s="27" t="n"/>
      <c r="BZ36" s="27" t="n"/>
      <c r="CA36" s="27" t="n"/>
      <c r="CB36" s="27" t="n"/>
      <c r="CC36" s="27" t="n"/>
      <c r="CD36" s="27" t="n"/>
      <c r="CE36" s="27" t="n"/>
      <c r="CF36" s="27" t="n"/>
      <c r="CG36" s="27" t="n"/>
      <c r="CH36" s="27" t="n"/>
      <c r="CI36" s="27" t="n"/>
      <c r="CJ36" s="27" t="n"/>
      <c r="CK36" s="27" t="n"/>
      <c r="CL36" s="27" t="n"/>
      <c r="CM36" s="27" t="n"/>
      <c r="CN36" s="27" t="n"/>
      <c r="CO36" s="27" t="n"/>
      <c r="CP36" s="27" t="n"/>
      <c r="CQ36" s="27" t="n"/>
      <c r="CR36" s="27" t="n"/>
      <c r="CS36" s="27" t="n"/>
      <c r="CT36" s="27" t="n"/>
      <c r="CU36" s="27" t="n"/>
      <c r="CV36" s="27" t="n"/>
      <c r="CW36" s="27" t="n"/>
      <c r="CX36" s="27" t="n"/>
      <c r="CY36" s="27" t="n"/>
      <c r="CZ36" s="27" t="n"/>
      <c r="DA36" s="27" t="n"/>
      <c r="DB36" s="27" t="n"/>
      <c r="DC36" s="27" t="n"/>
      <c r="DD36" s="27" t="n"/>
      <c r="DE36" s="27" t="n"/>
      <c r="DF36" s="27" t="n"/>
      <c r="DG36" s="27" t="n"/>
      <c r="DH36" s="27" t="n"/>
      <c r="DI36" s="27" t="n"/>
      <c r="DJ36" s="27" t="n"/>
      <c r="DK36" s="27" t="n"/>
      <c r="DL36" s="27" t="n"/>
      <c r="DM36" s="27" t="n"/>
      <c r="DN36" s="27" t="n"/>
      <c r="DO36" s="27" t="n"/>
      <c r="DP36" s="27" t="n"/>
      <c r="DQ36" s="27" t="n"/>
      <c r="DR36" s="27" t="n"/>
      <c r="DS36" s="27" t="n"/>
      <c r="DT36" s="27" t="n"/>
      <c r="DU36" s="27" t="n"/>
      <c r="DV36" s="27" t="n"/>
      <c r="DW36" s="27" t="n"/>
      <c r="DX36" s="27" t="n"/>
      <c r="DY36" s="27" t="n"/>
      <c r="DZ36" s="27" t="n"/>
      <c r="EA36" s="27" t="n"/>
      <c r="EB36" s="27" t="n"/>
      <c r="EC36" s="27" t="n"/>
      <c r="ED36" s="27" t="n"/>
      <c r="EE36" s="27" t="n"/>
      <c r="EF36" s="27" t="n"/>
      <c r="EG36" s="27" t="n"/>
      <c r="EH36" s="27" t="n"/>
      <c r="EI36" s="27" t="n"/>
      <c r="EJ36" s="27" t="n"/>
      <c r="EK36" s="27" t="n"/>
      <c r="EL36" s="27" t="n"/>
      <c r="EM36" s="27" t="n"/>
      <c r="EN36" s="27" t="n"/>
      <c r="EO36" s="27" t="n"/>
      <c r="EP36" s="27" t="n"/>
      <c r="EQ36" s="27" t="n"/>
      <c r="ER36" s="27" t="n"/>
      <c r="ES36" s="27" t="n"/>
      <c r="ET36" s="27" t="n"/>
      <c r="EU36" s="27" t="n"/>
      <c r="EV36" s="27" t="n"/>
      <c r="EW36" s="27" t="n"/>
      <c r="EX36" s="27" t="n"/>
      <c r="EY36" s="27" t="n"/>
      <c r="EZ36" s="27" t="n"/>
      <c r="FA36" s="27" t="n"/>
      <c r="FB36" s="27" t="n"/>
      <c r="FC36" s="27" t="n"/>
      <c r="FD36" s="27" t="n"/>
      <c r="FE36" s="27" t="n"/>
      <c r="FF36" s="27" t="n"/>
      <c r="FG36" s="27" t="n"/>
      <c r="FH36" s="27" t="n"/>
      <c r="FI36" s="27" t="n"/>
      <c r="FJ36" s="27" t="n"/>
      <c r="FK36" s="27" t="n"/>
      <c r="FL36" s="27" t="n"/>
      <c r="FM36" s="27" t="n"/>
      <c r="FN36" s="27" t="n"/>
      <c r="FO36" s="27" t="n"/>
      <c r="FP36" s="27" t="n"/>
      <c r="FQ36" s="27" t="n"/>
      <c r="FR36" s="27" t="n"/>
      <c r="FS36" s="27" t="n"/>
      <c r="FT36" s="27" t="n"/>
      <c r="FU36" s="27" t="n"/>
      <c r="FV36" s="27" t="n"/>
      <c r="FW36" s="27" t="n"/>
      <c r="FX36" s="27" t="n"/>
      <c r="FY36" s="27" t="n"/>
      <c r="FZ36" s="27" t="n"/>
      <c r="GA36" s="27" t="n"/>
      <c r="GB36" s="27" t="n"/>
      <c r="GC36" s="27" t="n"/>
      <c r="GD36" s="27" t="n"/>
      <c r="GE36" s="27" t="n"/>
      <c r="GF36" s="27" t="n"/>
      <c r="GG36" s="27" t="n"/>
      <c r="GH36" s="27" t="n"/>
      <c r="GI36" s="27" t="n"/>
      <c r="GJ36" s="27" t="n"/>
      <c r="GK36" s="27" t="n"/>
      <c r="GL36" s="27" t="n"/>
      <c r="GM36" s="27" t="n"/>
      <c r="GN36" s="27" t="n"/>
      <c r="GO36" s="27" t="n"/>
      <c r="GP36" s="27" t="n"/>
      <c r="GQ36" s="27" t="n"/>
      <c r="GR36" s="27" t="n"/>
      <c r="GS36" s="27" t="n"/>
      <c r="GT36" s="27" t="n"/>
      <c r="GU36" s="27" t="n"/>
      <c r="GV36" s="27" t="n"/>
      <c r="GW36" s="27" t="n"/>
      <c r="GX36" s="27" t="n"/>
      <c r="GY36" s="27" t="n"/>
      <c r="GZ36" s="27" t="n"/>
      <c r="HA36" s="27" t="n"/>
      <c r="HB36" s="27" t="n"/>
      <c r="HC36" s="27" t="n"/>
      <c r="HD36" s="27" t="n"/>
      <c r="HE36" s="27" t="n"/>
      <c r="HF36" s="27" t="n"/>
      <c r="HG36" s="27" t="n"/>
      <c r="HH36" s="27" t="n"/>
      <c r="HI36" s="27" t="n"/>
      <c r="HJ36" s="27" t="n"/>
      <c r="HK36" s="27" t="n"/>
      <c r="HL36" s="27" t="n"/>
      <c r="HM36" s="27" t="n"/>
      <c r="HN36" s="27" t="n"/>
      <c r="HO36" s="27" t="n"/>
      <c r="HP36" s="27" t="n"/>
      <c r="HQ36" s="27" t="n"/>
      <c r="HR36" s="27" t="n"/>
      <c r="HS36" s="27" t="n"/>
      <c r="HT36" s="27" t="n"/>
      <c r="HU36" s="27" t="n"/>
      <c r="HV36" s="27" t="n"/>
      <c r="HW36" s="27" t="n"/>
      <c r="HX36" s="27" t="n"/>
      <c r="HY36" s="27" t="n"/>
      <c r="HZ36" s="27" t="n"/>
      <c r="IA36" s="27" t="n"/>
      <c r="IB36" s="27" t="n"/>
      <c r="IC36" s="27" t="n"/>
      <c r="ID36" s="27" t="n"/>
      <c r="IE36" s="27" t="n"/>
      <c r="IF36" s="27" t="n"/>
      <c r="IG36" s="27" t="n"/>
      <c r="IH36" s="27" t="n"/>
      <c r="II36" s="27" t="n"/>
      <c r="IJ36" s="27" t="n"/>
      <c r="IK36" s="27" t="n"/>
      <c r="IL36" s="27" t="n"/>
      <c r="IM36" s="27" t="n"/>
      <c r="IN36" s="27" t="n"/>
      <c r="IO36" s="27" t="n"/>
      <c r="IP36" s="27" t="n"/>
      <c r="IQ36" s="27" t="n"/>
      <c r="IR36" s="27" t="n"/>
      <c r="IS36" s="27" t="n"/>
      <c r="IT36" s="27" t="n"/>
      <c r="IU36" s="27" t="n"/>
      <c r="IV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  <c r="AA37" s="27" t="n"/>
      <c r="AB37" s="27" t="n"/>
      <c r="AC37" s="27" t="n"/>
      <c r="AD37" s="27" t="n"/>
      <c r="AE37" s="27" t="n"/>
      <c r="AF37" s="27" t="n"/>
      <c r="AG37" s="27" t="n"/>
      <c r="AH37" s="27" t="n"/>
      <c r="AI37" s="27" t="n"/>
      <c r="AJ37" s="27" t="n"/>
      <c r="AK37" s="27" t="n"/>
      <c r="AL37" s="27" t="n"/>
      <c r="AM37" s="27" t="n"/>
      <c r="AN37" s="27" t="n"/>
      <c r="AO37" s="27" t="n"/>
      <c r="AP37" s="27" t="n"/>
      <c r="AQ37" s="27" t="n"/>
      <c r="AR37" s="27" t="n"/>
      <c r="AS37" s="27" t="n"/>
      <c r="AT37" s="27" t="n"/>
      <c r="AU37" s="27" t="n"/>
      <c r="AV37" s="27" t="n"/>
      <c r="AW37" s="27" t="n"/>
      <c r="AX37" s="27" t="n"/>
      <c r="AY37" s="27" t="n"/>
      <c r="AZ37" s="27" t="n"/>
      <c r="BA37" s="27" t="n"/>
      <c r="BB37" s="27" t="n"/>
      <c r="BC37" s="27" t="n"/>
      <c r="BD37" s="27" t="n"/>
      <c r="BE37" s="27" t="n"/>
      <c r="BF37" s="27" t="n"/>
      <c r="BG37" s="27" t="n"/>
      <c r="BH37" s="27" t="n"/>
      <c r="BI37" s="27" t="n"/>
      <c r="BJ37" s="27" t="n"/>
      <c r="BK37" s="27" t="n"/>
      <c r="BL37" s="27" t="n"/>
      <c r="BM37" s="27" t="n"/>
      <c r="BN37" s="27" t="n"/>
      <c r="BO37" s="27" t="n"/>
      <c r="BP37" s="27" t="n"/>
      <c r="BQ37" s="27" t="n"/>
      <c r="BR37" s="27" t="n"/>
      <c r="BS37" s="27" t="n"/>
      <c r="BT37" s="27" t="n"/>
      <c r="BU37" s="27" t="n"/>
      <c r="BV37" s="27" t="n"/>
      <c r="BW37" s="27" t="n"/>
      <c r="BX37" s="27" t="n"/>
      <c r="BY37" s="27" t="n"/>
      <c r="BZ37" s="27" t="n"/>
      <c r="CA37" s="27" t="n"/>
      <c r="CB37" s="27" t="n"/>
      <c r="CC37" s="27" t="n"/>
      <c r="CD37" s="27" t="n"/>
      <c r="CE37" s="27" t="n"/>
      <c r="CF37" s="27" t="n"/>
      <c r="CG37" s="27" t="n"/>
      <c r="CH37" s="27" t="n"/>
      <c r="CI37" s="27" t="n"/>
      <c r="CJ37" s="27" t="n"/>
      <c r="CK37" s="27" t="n"/>
      <c r="CL37" s="27" t="n"/>
      <c r="CM37" s="27" t="n"/>
      <c r="CN37" s="27" t="n"/>
      <c r="CO37" s="27" t="n"/>
      <c r="CP37" s="27" t="n"/>
      <c r="CQ37" s="27" t="n"/>
      <c r="CR37" s="27" t="n"/>
      <c r="CS37" s="27" t="n"/>
      <c r="CT37" s="27" t="n"/>
      <c r="CU37" s="27" t="n"/>
      <c r="CV37" s="27" t="n"/>
      <c r="CW37" s="27" t="n"/>
      <c r="CX37" s="27" t="n"/>
      <c r="CY37" s="27" t="n"/>
      <c r="CZ37" s="27" t="n"/>
      <c r="DA37" s="27" t="n"/>
      <c r="DB37" s="27" t="n"/>
      <c r="DC37" s="27" t="n"/>
      <c r="DD37" s="27" t="n"/>
      <c r="DE37" s="27" t="n"/>
      <c r="DF37" s="27" t="n"/>
      <c r="DG37" s="27" t="n"/>
      <c r="DH37" s="27" t="n"/>
      <c r="DI37" s="27" t="n"/>
      <c r="DJ37" s="27" t="n"/>
      <c r="DK37" s="27" t="n"/>
      <c r="DL37" s="27" t="n"/>
      <c r="DM37" s="27" t="n"/>
      <c r="DN37" s="27" t="n"/>
      <c r="DO37" s="27" t="n"/>
      <c r="DP37" s="27" t="n"/>
      <c r="DQ37" s="27" t="n"/>
      <c r="DR37" s="27" t="n"/>
      <c r="DS37" s="27" t="n"/>
      <c r="DT37" s="27" t="n"/>
      <c r="DU37" s="27" t="n"/>
      <c r="DV37" s="27" t="n"/>
      <c r="DW37" s="27" t="n"/>
      <c r="DX37" s="27" t="n"/>
      <c r="DY37" s="27" t="n"/>
      <c r="DZ37" s="27" t="n"/>
      <c r="EA37" s="27" t="n"/>
      <c r="EB37" s="27" t="n"/>
      <c r="EC37" s="27" t="n"/>
      <c r="ED37" s="27" t="n"/>
      <c r="EE37" s="27" t="n"/>
      <c r="EF37" s="27" t="n"/>
      <c r="EG37" s="27" t="n"/>
      <c r="EH37" s="27" t="n"/>
      <c r="EI37" s="27" t="n"/>
      <c r="EJ37" s="27" t="n"/>
      <c r="EK37" s="27" t="n"/>
      <c r="EL37" s="27" t="n"/>
      <c r="EM37" s="27" t="n"/>
      <c r="EN37" s="27" t="n"/>
      <c r="EO37" s="27" t="n"/>
      <c r="EP37" s="27" t="n"/>
      <c r="EQ37" s="27" t="n"/>
      <c r="ER37" s="27" t="n"/>
      <c r="ES37" s="27" t="n"/>
      <c r="ET37" s="27" t="n"/>
      <c r="EU37" s="27" t="n"/>
      <c r="EV37" s="27" t="n"/>
      <c r="EW37" s="27" t="n"/>
      <c r="EX37" s="27" t="n"/>
      <c r="EY37" s="27" t="n"/>
      <c r="EZ37" s="27" t="n"/>
      <c r="FA37" s="27" t="n"/>
      <c r="FB37" s="27" t="n"/>
      <c r="FC37" s="27" t="n"/>
      <c r="FD37" s="27" t="n"/>
      <c r="FE37" s="27" t="n"/>
      <c r="FF37" s="27" t="n"/>
      <c r="FG37" s="27" t="n"/>
      <c r="FH37" s="27" t="n"/>
      <c r="FI37" s="27" t="n"/>
      <c r="FJ37" s="27" t="n"/>
      <c r="FK37" s="27" t="n"/>
      <c r="FL37" s="27" t="n"/>
      <c r="FM37" s="27" t="n"/>
      <c r="FN37" s="27" t="n"/>
      <c r="FO37" s="27" t="n"/>
      <c r="FP37" s="27" t="n"/>
      <c r="FQ37" s="27" t="n"/>
      <c r="FR37" s="27" t="n"/>
      <c r="FS37" s="27" t="n"/>
      <c r="FT37" s="27" t="n"/>
      <c r="FU37" s="27" t="n"/>
      <c r="FV37" s="27" t="n"/>
      <c r="FW37" s="27" t="n"/>
      <c r="FX37" s="27" t="n"/>
      <c r="FY37" s="27" t="n"/>
      <c r="FZ37" s="27" t="n"/>
      <c r="GA37" s="27" t="n"/>
      <c r="GB37" s="27" t="n"/>
      <c r="GC37" s="27" t="n"/>
      <c r="GD37" s="27" t="n"/>
      <c r="GE37" s="27" t="n"/>
      <c r="GF37" s="27" t="n"/>
      <c r="GG37" s="27" t="n"/>
      <c r="GH37" s="27" t="n"/>
      <c r="GI37" s="27" t="n"/>
      <c r="GJ37" s="27" t="n"/>
      <c r="GK37" s="27" t="n"/>
      <c r="GL37" s="27" t="n"/>
      <c r="GM37" s="27" t="n"/>
      <c r="GN37" s="27" t="n"/>
      <c r="GO37" s="27" t="n"/>
      <c r="GP37" s="27" t="n"/>
      <c r="GQ37" s="27" t="n"/>
      <c r="GR37" s="27" t="n"/>
      <c r="GS37" s="27" t="n"/>
      <c r="GT37" s="27" t="n"/>
      <c r="GU37" s="27" t="n"/>
      <c r="GV37" s="27" t="n"/>
      <c r="GW37" s="27" t="n"/>
      <c r="GX37" s="27" t="n"/>
      <c r="GY37" s="27" t="n"/>
      <c r="GZ37" s="27" t="n"/>
      <c r="HA37" s="27" t="n"/>
      <c r="HB37" s="27" t="n"/>
      <c r="HC37" s="27" t="n"/>
      <c r="HD37" s="27" t="n"/>
      <c r="HE37" s="27" t="n"/>
      <c r="HF37" s="27" t="n"/>
      <c r="HG37" s="27" t="n"/>
      <c r="HH37" s="27" t="n"/>
      <c r="HI37" s="27" t="n"/>
      <c r="HJ37" s="27" t="n"/>
      <c r="HK37" s="27" t="n"/>
      <c r="HL37" s="27" t="n"/>
      <c r="HM37" s="27" t="n"/>
      <c r="HN37" s="27" t="n"/>
      <c r="HO37" s="27" t="n"/>
      <c r="HP37" s="27" t="n"/>
      <c r="HQ37" s="27" t="n"/>
      <c r="HR37" s="27" t="n"/>
      <c r="HS37" s="27" t="n"/>
      <c r="HT37" s="27" t="n"/>
      <c r="HU37" s="27" t="n"/>
      <c r="HV37" s="27" t="n"/>
      <c r="HW37" s="27" t="n"/>
      <c r="HX37" s="27" t="n"/>
      <c r="HY37" s="27" t="n"/>
      <c r="HZ37" s="27" t="n"/>
      <c r="IA37" s="27" t="n"/>
      <c r="IB37" s="27" t="n"/>
      <c r="IC37" s="27" t="n"/>
      <c r="ID37" s="27" t="n"/>
      <c r="IE37" s="27" t="n"/>
      <c r="IF37" s="27" t="n"/>
      <c r="IG37" s="27" t="n"/>
      <c r="IH37" s="27" t="n"/>
      <c r="II37" s="27" t="n"/>
      <c r="IJ37" s="27" t="n"/>
      <c r="IK37" s="27" t="n"/>
      <c r="IL37" s="27" t="n"/>
      <c r="IM37" s="27" t="n"/>
      <c r="IN37" s="27" t="n"/>
      <c r="IO37" s="27" t="n"/>
      <c r="IP37" s="27" t="n"/>
      <c r="IQ37" s="27" t="n"/>
      <c r="IR37" s="27" t="n"/>
      <c r="IS37" s="27" t="n"/>
      <c r="IT37" s="27" t="n"/>
      <c r="IU37" s="27" t="n"/>
      <c r="IV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  <c r="AA38" s="27" t="n"/>
      <c r="AB38" s="27" t="n"/>
      <c r="AC38" s="27" t="n"/>
      <c r="AD38" s="27" t="n"/>
      <c r="AE38" s="27" t="n"/>
      <c r="AF38" s="27" t="n"/>
      <c r="AG38" s="27" t="n"/>
      <c r="AH38" s="27" t="n"/>
      <c r="AI38" s="27" t="n"/>
      <c r="AJ38" s="27" t="n"/>
      <c r="AK38" s="27" t="n"/>
      <c r="AL38" s="27" t="n"/>
      <c r="AM38" s="27" t="n"/>
      <c r="AN38" s="27" t="n"/>
      <c r="AO38" s="27" t="n"/>
      <c r="AP38" s="27" t="n"/>
      <c r="AQ38" s="27" t="n"/>
      <c r="AR38" s="27" t="n"/>
      <c r="AS38" s="27" t="n"/>
      <c r="AT38" s="27" t="n"/>
      <c r="AU38" s="27" t="n"/>
      <c r="AV38" s="27" t="n"/>
      <c r="AW38" s="27" t="n"/>
      <c r="AX38" s="27" t="n"/>
      <c r="AY38" s="27" t="n"/>
      <c r="AZ38" s="27" t="n"/>
      <c r="BA38" s="27" t="n"/>
      <c r="BB38" s="27" t="n"/>
      <c r="BC38" s="27" t="n"/>
      <c r="BD38" s="27" t="n"/>
      <c r="BE38" s="27" t="n"/>
      <c r="BF38" s="27" t="n"/>
      <c r="BG38" s="27" t="n"/>
      <c r="BH38" s="27" t="n"/>
      <c r="BI38" s="27" t="n"/>
      <c r="BJ38" s="27" t="n"/>
      <c r="BK38" s="27" t="n"/>
      <c r="BL38" s="27" t="n"/>
      <c r="BM38" s="27" t="n"/>
      <c r="BN38" s="27" t="n"/>
      <c r="BO38" s="27" t="n"/>
      <c r="BP38" s="27" t="n"/>
      <c r="BQ38" s="27" t="n"/>
      <c r="BR38" s="27" t="n"/>
      <c r="BS38" s="27" t="n"/>
      <c r="BT38" s="27" t="n"/>
      <c r="BU38" s="27" t="n"/>
      <c r="BV38" s="27" t="n"/>
      <c r="BW38" s="27" t="n"/>
      <c r="BX38" s="27" t="n"/>
      <c r="BY38" s="27" t="n"/>
      <c r="BZ38" s="27" t="n"/>
      <c r="CA38" s="27" t="n"/>
      <c r="CB38" s="27" t="n"/>
      <c r="CC38" s="27" t="n"/>
      <c r="CD38" s="27" t="n"/>
      <c r="CE38" s="27" t="n"/>
      <c r="CF38" s="27" t="n"/>
      <c r="CG38" s="27" t="n"/>
      <c r="CH38" s="27" t="n"/>
      <c r="CI38" s="27" t="n"/>
      <c r="CJ38" s="27" t="n"/>
      <c r="CK38" s="27" t="n"/>
      <c r="CL38" s="27" t="n"/>
      <c r="CM38" s="27" t="n"/>
      <c r="CN38" s="27" t="n"/>
      <c r="CO38" s="27" t="n"/>
      <c r="CP38" s="27" t="n"/>
      <c r="CQ38" s="27" t="n"/>
      <c r="CR38" s="27" t="n"/>
      <c r="CS38" s="27" t="n"/>
      <c r="CT38" s="27" t="n"/>
      <c r="CU38" s="27" t="n"/>
      <c r="CV38" s="27" t="n"/>
      <c r="CW38" s="27" t="n"/>
      <c r="CX38" s="27" t="n"/>
      <c r="CY38" s="27" t="n"/>
      <c r="CZ38" s="27" t="n"/>
      <c r="DA38" s="27" t="n"/>
      <c r="DB38" s="27" t="n"/>
      <c r="DC38" s="27" t="n"/>
      <c r="DD38" s="27" t="n"/>
      <c r="DE38" s="27" t="n"/>
      <c r="DF38" s="27" t="n"/>
      <c r="DG38" s="27" t="n"/>
      <c r="DH38" s="27" t="n"/>
      <c r="DI38" s="27" t="n"/>
      <c r="DJ38" s="27" t="n"/>
      <c r="DK38" s="27" t="n"/>
      <c r="DL38" s="27" t="n"/>
      <c r="DM38" s="27" t="n"/>
      <c r="DN38" s="27" t="n"/>
      <c r="DO38" s="27" t="n"/>
      <c r="DP38" s="27" t="n"/>
      <c r="DQ38" s="27" t="n"/>
      <c r="DR38" s="27" t="n"/>
      <c r="DS38" s="27" t="n"/>
      <c r="DT38" s="27" t="n"/>
      <c r="DU38" s="27" t="n"/>
      <c r="DV38" s="27" t="n"/>
      <c r="DW38" s="27" t="n"/>
      <c r="DX38" s="27" t="n"/>
      <c r="DY38" s="27" t="n"/>
      <c r="DZ38" s="27" t="n"/>
      <c r="EA38" s="27" t="n"/>
      <c r="EB38" s="27" t="n"/>
      <c r="EC38" s="27" t="n"/>
      <c r="ED38" s="27" t="n"/>
      <c r="EE38" s="27" t="n"/>
      <c r="EF38" s="27" t="n"/>
      <c r="EG38" s="27" t="n"/>
      <c r="EH38" s="27" t="n"/>
      <c r="EI38" s="27" t="n"/>
      <c r="EJ38" s="27" t="n"/>
      <c r="EK38" s="27" t="n"/>
      <c r="EL38" s="27" t="n"/>
      <c r="EM38" s="27" t="n"/>
      <c r="EN38" s="27" t="n"/>
      <c r="EO38" s="27" t="n"/>
      <c r="EP38" s="27" t="n"/>
      <c r="EQ38" s="27" t="n"/>
      <c r="ER38" s="27" t="n"/>
      <c r="ES38" s="27" t="n"/>
      <c r="ET38" s="27" t="n"/>
      <c r="EU38" s="27" t="n"/>
      <c r="EV38" s="27" t="n"/>
      <c r="EW38" s="27" t="n"/>
      <c r="EX38" s="27" t="n"/>
      <c r="EY38" s="27" t="n"/>
      <c r="EZ38" s="27" t="n"/>
      <c r="FA38" s="27" t="n"/>
      <c r="FB38" s="27" t="n"/>
      <c r="FC38" s="27" t="n"/>
      <c r="FD38" s="27" t="n"/>
      <c r="FE38" s="27" t="n"/>
      <c r="FF38" s="27" t="n"/>
      <c r="FG38" s="27" t="n"/>
      <c r="FH38" s="27" t="n"/>
      <c r="FI38" s="27" t="n"/>
      <c r="FJ38" s="27" t="n"/>
      <c r="FK38" s="27" t="n"/>
      <c r="FL38" s="27" t="n"/>
      <c r="FM38" s="27" t="n"/>
      <c r="FN38" s="27" t="n"/>
      <c r="FO38" s="27" t="n"/>
      <c r="FP38" s="27" t="n"/>
      <c r="FQ38" s="27" t="n"/>
      <c r="FR38" s="27" t="n"/>
      <c r="FS38" s="27" t="n"/>
      <c r="FT38" s="27" t="n"/>
      <c r="FU38" s="27" t="n"/>
      <c r="FV38" s="27" t="n"/>
      <c r="FW38" s="27" t="n"/>
      <c r="FX38" s="27" t="n"/>
      <c r="FY38" s="27" t="n"/>
      <c r="FZ38" s="27" t="n"/>
      <c r="GA38" s="27" t="n"/>
      <c r="GB38" s="27" t="n"/>
      <c r="GC38" s="27" t="n"/>
      <c r="GD38" s="27" t="n"/>
      <c r="GE38" s="27" t="n"/>
      <c r="GF38" s="27" t="n"/>
      <c r="GG38" s="27" t="n"/>
      <c r="GH38" s="27" t="n"/>
      <c r="GI38" s="27" t="n"/>
      <c r="GJ38" s="27" t="n"/>
      <c r="GK38" s="27" t="n"/>
      <c r="GL38" s="27" t="n"/>
      <c r="GM38" s="27" t="n"/>
      <c r="GN38" s="27" t="n"/>
      <c r="GO38" s="27" t="n"/>
      <c r="GP38" s="27" t="n"/>
      <c r="GQ38" s="27" t="n"/>
      <c r="GR38" s="27" t="n"/>
      <c r="GS38" s="27" t="n"/>
      <c r="GT38" s="27" t="n"/>
      <c r="GU38" s="27" t="n"/>
      <c r="GV38" s="27" t="n"/>
      <c r="GW38" s="27" t="n"/>
      <c r="GX38" s="27" t="n"/>
      <c r="GY38" s="27" t="n"/>
      <c r="GZ38" s="27" t="n"/>
      <c r="HA38" s="27" t="n"/>
      <c r="HB38" s="27" t="n"/>
      <c r="HC38" s="27" t="n"/>
      <c r="HD38" s="27" t="n"/>
      <c r="HE38" s="27" t="n"/>
      <c r="HF38" s="27" t="n"/>
      <c r="HG38" s="27" t="n"/>
      <c r="HH38" s="27" t="n"/>
      <c r="HI38" s="27" t="n"/>
      <c r="HJ38" s="27" t="n"/>
      <c r="HK38" s="27" t="n"/>
      <c r="HL38" s="27" t="n"/>
      <c r="HM38" s="27" t="n"/>
      <c r="HN38" s="27" t="n"/>
      <c r="HO38" s="27" t="n"/>
      <c r="HP38" s="27" t="n"/>
      <c r="HQ38" s="27" t="n"/>
      <c r="HR38" s="27" t="n"/>
      <c r="HS38" s="27" t="n"/>
      <c r="HT38" s="27" t="n"/>
      <c r="HU38" s="27" t="n"/>
      <c r="HV38" s="27" t="n"/>
      <c r="HW38" s="27" t="n"/>
      <c r="HX38" s="27" t="n"/>
      <c r="HY38" s="27" t="n"/>
      <c r="HZ38" s="27" t="n"/>
      <c r="IA38" s="27" t="n"/>
      <c r="IB38" s="27" t="n"/>
      <c r="IC38" s="27" t="n"/>
      <c r="ID38" s="27" t="n"/>
      <c r="IE38" s="27" t="n"/>
      <c r="IF38" s="27" t="n"/>
      <c r="IG38" s="27" t="n"/>
      <c r="IH38" s="27" t="n"/>
      <c r="II38" s="27" t="n"/>
      <c r="IJ38" s="27" t="n"/>
      <c r="IK38" s="27" t="n"/>
      <c r="IL38" s="27" t="n"/>
      <c r="IM38" s="27" t="n"/>
      <c r="IN38" s="27" t="n"/>
      <c r="IO38" s="27" t="n"/>
      <c r="IP38" s="27" t="n"/>
      <c r="IQ38" s="27" t="n"/>
      <c r="IR38" s="27" t="n"/>
      <c r="IS38" s="27" t="n"/>
      <c r="IT38" s="27" t="n"/>
      <c r="IU38" s="27" t="n"/>
      <c r="IV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  <c r="AA39" s="27" t="n"/>
      <c r="AB39" s="27" t="n"/>
      <c r="AC39" s="27" t="n"/>
      <c r="AD39" s="27" t="n"/>
      <c r="AE39" s="27" t="n"/>
      <c r="AF39" s="27" t="n"/>
      <c r="AG39" s="27" t="n"/>
      <c r="AH39" s="27" t="n"/>
      <c r="AI39" s="27" t="n"/>
      <c r="AJ39" s="27" t="n"/>
      <c r="AK39" s="27" t="n"/>
      <c r="AL39" s="27" t="n"/>
      <c r="AM39" s="27" t="n"/>
      <c r="AN39" s="27" t="n"/>
      <c r="AO39" s="27" t="n"/>
      <c r="AP39" s="27" t="n"/>
      <c r="AQ39" s="27" t="n"/>
      <c r="AR39" s="27" t="n"/>
      <c r="AS39" s="27" t="n"/>
      <c r="AT39" s="27" t="n"/>
      <c r="AU39" s="27" t="n"/>
      <c r="AV39" s="27" t="n"/>
      <c r="AW39" s="27" t="n"/>
      <c r="AX39" s="27" t="n"/>
      <c r="AY39" s="27" t="n"/>
      <c r="AZ39" s="27" t="n"/>
      <c r="BA39" s="27" t="n"/>
      <c r="BB39" s="27" t="n"/>
      <c r="BC39" s="27" t="n"/>
      <c r="BD39" s="27" t="n"/>
      <c r="BE39" s="27" t="n"/>
      <c r="BF39" s="27" t="n"/>
      <c r="BG39" s="27" t="n"/>
      <c r="BH39" s="27" t="n"/>
      <c r="BI39" s="27" t="n"/>
      <c r="BJ39" s="27" t="n"/>
      <c r="BK39" s="27" t="n"/>
      <c r="BL39" s="27" t="n"/>
      <c r="BM39" s="27" t="n"/>
      <c r="BN39" s="27" t="n"/>
      <c r="BO39" s="27" t="n"/>
      <c r="BP39" s="27" t="n"/>
      <c r="BQ39" s="27" t="n"/>
      <c r="BR39" s="27" t="n"/>
      <c r="BS39" s="27" t="n"/>
      <c r="BT39" s="27" t="n"/>
      <c r="BU39" s="27" t="n"/>
      <c r="BV39" s="27" t="n"/>
      <c r="BW39" s="27" t="n"/>
      <c r="BX39" s="27" t="n"/>
      <c r="BY39" s="27" t="n"/>
      <c r="BZ39" s="27" t="n"/>
      <c r="CA39" s="27" t="n"/>
      <c r="CB39" s="27" t="n"/>
      <c r="CC39" s="27" t="n"/>
      <c r="CD39" s="27" t="n"/>
      <c r="CE39" s="27" t="n"/>
      <c r="CF39" s="27" t="n"/>
      <c r="CG39" s="27" t="n"/>
      <c r="CH39" s="27" t="n"/>
      <c r="CI39" s="27" t="n"/>
      <c r="CJ39" s="27" t="n"/>
      <c r="CK39" s="27" t="n"/>
      <c r="CL39" s="27" t="n"/>
      <c r="CM39" s="27" t="n"/>
      <c r="CN39" s="27" t="n"/>
      <c r="CO39" s="27" t="n"/>
      <c r="CP39" s="27" t="n"/>
      <c r="CQ39" s="27" t="n"/>
      <c r="CR39" s="27" t="n"/>
      <c r="CS39" s="27" t="n"/>
      <c r="CT39" s="27" t="n"/>
      <c r="CU39" s="27" t="n"/>
      <c r="CV39" s="27" t="n"/>
      <c r="CW39" s="27" t="n"/>
      <c r="CX39" s="27" t="n"/>
      <c r="CY39" s="27" t="n"/>
      <c r="CZ39" s="27" t="n"/>
      <c r="DA39" s="27" t="n"/>
      <c r="DB39" s="27" t="n"/>
      <c r="DC39" s="27" t="n"/>
      <c r="DD39" s="27" t="n"/>
      <c r="DE39" s="27" t="n"/>
      <c r="DF39" s="27" t="n"/>
      <c r="DG39" s="27" t="n"/>
      <c r="DH39" s="27" t="n"/>
      <c r="DI39" s="27" t="n"/>
      <c r="DJ39" s="27" t="n"/>
      <c r="DK39" s="27" t="n"/>
      <c r="DL39" s="27" t="n"/>
      <c r="DM39" s="27" t="n"/>
      <c r="DN39" s="27" t="n"/>
      <c r="DO39" s="27" t="n"/>
      <c r="DP39" s="27" t="n"/>
      <c r="DQ39" s="27" t="n"/>
      <c r="DR39" s="27" t="n"/>
      <c r="DS39" s="27" t="n"/>
      <c r="DT39" s="27" t="n"/>
      <c r="DU39" s="27" t="n"/>
      <c r="DV39" s="27" t="n"/>
      <c r="DW39" s="27" t="n"/>
      <c r="DX39" s="27" t="n"/>
      <c r="DY39" s="27" t="n"/>
      <c r="DZ39" s="27" t="n"/>
      <c r="EA39" s="27" t="n"/>
      <c r="EB39" s="27" t="n"/>
      <c r="EC39" s="27" t="n"/>
      <c r="ED39" s="27" t="n"/>
      <c r="EE39" s="27" t="n"/>
      <c r="EF39" s="27" t="n"/>
      <c r="EG39" s="27" t="n"/>
      <c r="EH39" s="27" t="n"/>
      <c r="EI39" s="27" t="n"/>
      <c r="EJ39" s="27" t="n"/>
      <c r="EK39" s="27" t="n"/>
      <c r="EL39" s="27" t="n"/>
      <c r="EM39" s="27" t="n"/>
      <c r="EN39" s="27" t="n"/>
      <c r="EO39" s="27" t="n"/>
      <c r="EP39" s="27" t="n"/>
      <c r="EQ39" s="27" t="n"/>
      <c r="ER39" s="27" t="n"/>
      <c r="ES39" s="27" t="n"/>
      <c r="ET39" s="27" t="n"/>
      <c r="EU39" s="27" t="n"/>
      <c r="EV39" s="27" t="n"/>
      <c r="EW39" s="27" t="n"/>
      <c r="EX39" s="27" t="n"/>
      <c r="EY39" s="27" t="n"/>
      <c r="EZ39" s="27" t="n"/>
      <c r="FA39" s="27" t="n"/>
      <c r="FB39" s="27" t="n"/>
      <c r="FC39" s="27" t="n"/>
      <c r="FD39" s="27" t="n"/>
      <c r="FE39" s="27" t="n"/>
      <c r="FF39" s="27" t="n"/>
      <c r="FG39" s="27" t="n"/>
      <c r="FH39" s="27" t="n"/>
      <c r="FI39" s="27" t="n"/>
      <c r="FJ39" s="27" t="n"/>
      <c r="FK39" s="27" t="n"/>
      <c r="FL39" s="27" t="n"/>
      <c r="FM39" s="27" t="n"/>
      <c r="FN39" s="27" t="n"/>
      <c r="FO39" s="27" t="n"/>
      <c r="FP39" s="27" t="n"/>
      <c r="FQ39" s="27" t="n"/>
      <c r="FR39" s="27" t="n"/>
      <c r="FS39" s="27" t="n"/>
      <c r="FT39" s="27" t="n"/>
      <c r="FU39" s="27" t="n"/>
      <c r="FV39" s="27" t="n"/>
      <c r="FW39" s="27" t="n"/>
      <c r="FX39" s="27" t="n"/>
      <c r="FY39" s="27" t="n"/>
      <c r="FZ39" s="27" t="n"/>
      <c r="GA39" s="27" t="n"/>
      <c r="GB39" s="27" t="n"/>
      <c r="GC39" s="27" t="n"/>
      <c r="GD39" s="27" t="n"/>
      <c r="GE39" s="27" t="n"/>
      <c r="GF39" s="27" t="n"/>
      <c r="GG39" s="27" t="n"/>
      <c r="GH39" s="27" t="n"/>
      <c r="GI39" s="27" t="n"/>
      <c r="GJ39" s="27" t="n"/>
      <c r="GK39" s="27" t="n"/>
      <c r="GL39" s="27" t="n"/>
      <c r="GM39" s="27" t="n"/>
      <c r="GN39" s="27" t="n"/>
      <c r="GO39" s="27" t="n"/>
      <c r="GP39" s="27" t="n"/>
      <c r="GQ39" s="27" t="n"/>
      <c r="GR39" s="27" t="n"/>
      <c r="GS39" s="27" t="n"/>
      <c r="GT39" s="27" t="n"/>
      <c r="GU39" s="27" t="n"/>
      <c r="GV39" s="27" t="n"/>
      <c r="GW39" s="27" t="n"/>
      <c r="GX39" s="27" t="n"/>
      <c r="GY39" s="27" t="n"/>
      <c r="GZ39" s="27" t="n"/>
      <c r="HA39" s="27" t="n"/>
      <c r="HB39" s="27" t="n"/>
      <c r="HC39" s="27" t="n"/>
      <c r="HD39" s="27" t="n"/>
      <c r="HE39" s="27" t="n"/>
      <c r="HF39" s="27" t="n"/>
      <c r="HG39" s="27" t="n"/>
      <c r="HH39" s="27" t="n"/>
      <c r="HI39" s="27" t="n"/>
      <c r="HJ39" s="27" t="n"/>
      <c r="HK39" s="27" t="n"/>
      <c r="HL39" s="27" t="n"/>
      <c r="HM39" s="27" t="n"/>
      <c r="HN39" s="27" t="n"/>
      <c r="HO39" s="27" t="n"/>
      <c r="HP39" s="27" t="n"/>
      <c r="HQ39" s="27" t="n"/>
      <c r="HR39" s="27" t="n"/>
      <c r="HS39" s="27" t="n"/>
      <c r="HT39" s="27" t="n"/>
      <c r="HU39" s="27" t="n"/>
      <c r="HV39" s="27" t="n"/>
      <c r="HW39" s="27" t="n"/>
      <c r="HX39" s="27" t="n"/>
      <c r="HY39" s="27" t="n"/>
      <c r="HZ39" s="27" t="n"/>
      <c r="IA39" s="27" t="n"/>
      <c r="IB39" s="27" t="n"/>
      <c r="IC39" s="27" t="n"/>
      <c r="ID39" s="27" t="n"/>
      <c r="IE39" s="27" t="n"/>
      <c r="IF39" s="27" t="n"/>
      <c r="IG39" s="27" t="n"/>
      <c r="IH39" s="27" t="n"/>
      <c r="II39" s="27" t="n"/>
      <c r="IJ39" s="27" t="n"/>
      <c r="IK39" s="27" t="n"/>
      <c r="IL39" s="27" t="n"/>
      <c r="IM39" s="27" t="n"/>
      <c r="IN39" s="27" t="n"/>
      <c r="IO39" s="27" t="n"/>
      <c r="IP39" s="27" t="n"/>
      <c r="IQ39" s="27" t="n"/>
      <c r="IR39" s="27" t="n"/>
      <c r="IS39" s="27" t="n"/>
      <c r="IT39" s="27" t="n"/>
      <c r="IU39" s="27" t="n"/>
      <c r="IV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  <c r="AA40" s="27" t="n"/>
      <c r="AB40" s="27" t="n"/>
      <c r="AC40" s="27" t="n"/>
      <c r="AD40" s="27" t="n"/>
      <c r="AE40" s="27" t="n"/>
      <c r="AF40" s="27" t="n"/>
      <c r="AG40" s="27" t="n"/>
      <c r="AH40" s="27" t="n"/>
      <c r="AI40" s="27" t="n"/>
      <c r="AJ40" s="27" t="n"/>
      <c r="AK40" s="27" t="n"/>
      <c r="AL40" s="27" t="n"/>
      <c r="AM40" s="27" t="n"/>
      <c r="AN40" s="27" t="n"/>
      <c r="AO40" s="27" t="n"/>
      <c r="AP40" s="27" t="n"/>
      <c r="AQ40" s="27" t="n"/>
      <c r="AR40" s="27" t="n"/>
      <c r="AS40" s="27" t="n"/>
      <c r="AT40" s="27" t="n"/>
      <c r="AU40" s="27" t="n"/>
      <c r="AV40" s="27" t="n"/>
      <c r="AW40" s="27" t="n"/>
      <c r="AX40" s="27" t="n"/>
      <c r="AY40" s="27" t="n"/>
      <c r="AZ40" s="27" t="n"/>
      <c r="BA40" s="27" t="n"/>
      <c r="BB40" s="27" t="n"/>
      <c r="BC40" s="27" t="n"/>
      <c r="BD40" s="27" t="n"/>
      <c r="BE40" s="27" t="n"/>
      <c r="BF40" s="27" t="n"/>
      <c r="BG40" s="27" t="n"/>
      <c r="BH40" s="27" t="n"/>
      <c r="BI40" s="27" t="n"/>
      <c r="BJ40" s="27" t="n"/>
      <c r="BK40" s="27" t="n"/>
      <c r="BL40" s="27" t="n"/>
      <c r="BM40" s="27" t="n"/>
      <c r="BN40" s="27" t="n"/>
      <c r="BO40" s="27" t="n"/>
      <c r="BP40" s="27" t="n"/>
      <c r="BQ40" s="27" t="n"/>
      <c r="BR40" s="27" t="n"/>
      <c r="BS40" s="27" t="n"/>
      <c r="BT40" s="27" t="n"/>
      <c r="BU40" s="27" t="n"/>
      <c r="BV40" s="27" t="n"/>
      <c r="BW40" s="27" t="n"/>
      <c r="BX40" s="27" t="n"/>
      <c r="BY40" s="27" t="n"/>
      <c r="BZ40" s="27" t="n"/>
      <c r="CA40" s="27" t="n"/>
      <c r="CB40" s="27" t="n"/>
      <c r="CC40" s="27" t="n"/>
      <c r="CD40" s="27" t="n"/>
      <c r="CE40" s="27" t="n"/>
      <c r="CF40" s="27" t="n"/>
      <c r="CG40" s="27" t="n"/>
      <c r="CH40" s="27" t="n"/>
      <c r="CI40" s="27" t="n"/>
      <c r="CJ40" s="27" t="n"/>
      <c r="CK40" s="27" t="n"/>
      <c r="CL40" s="27" t="n"/>
      <c r="CM40" s="27" t="n"/>
      <c r="CN40" s="27" t="n"/>
      <c r="CO40" s="27" t="n"/>
      <c r="CP40" s="27" t="n"/>
      <c r="CQ40" s="27" t="n"/>
      <c r="CR40" s="27" t="n"/>
      <c r="CS40" s="27" t="n"/>
      <c r="CT40" s="27" t="n"/>
      <c r="CU40" s="27" t="n"/>
      <c r="CV40" s="27" t="n"/>
      <c r="CW40" s="27" t="n"/>
      <c r="CX40" s="27" t="n"/>
      <c r="CY40" s="27" t="n"/>
      <c r="CZ40" s="27" t="n"/>
      <c r="DA40" s="27" t="n"/>
      <c r="DB40" s="27" t="n"/>
      <c r="DC40" s="27" t="n"/>
      <c r="DD40" s="27" t="n"/>
      <c r="DE40" s="27" t="n"/>
      <c r="DF40" s="27" t="n"/>
      <c r="DG40" s="27" t="n"/>
      <c r="DH40" s="27" t="n"/>
      <c r="DI40" s="27" t="n"/>
      <c r="DJ40" s="27" t="n"/>
      <c r="DK40" s="27" t="n"/>
      <c r="DL40" s="27" t="n"/>
      <c r="DM40" s="27" t="n"/>
      <c r="DN40" s="27" t="n"/>
      <c r="DO40" s="27" t="n"/>
      <c r="DP40" s="27" t="n"/>
      <c r="DQ40" s="27" t="n"/>
      <c r="DR40" s="27" t="n"/>
      <c r="DS40" s="27" t="n"/>
      <c r="DT40" s="27" t="n"/>
      <c r="DU40" s="27" t="n"/>
      <c r="DV40" s="27" t="n"/>
      <c r="DW40" s="27" t="n"/>
      <c r="DX40" s="27" t="n"/>
      <c r="DY40" s="27" t="n"/>
      <c r="DZ40" s="27" t="n"/>
      <c r="EA40" s="27" t="n"/>
      <c r="EB40" s="27" t="n"/>
      <c r="EC40" s="27" t="n"/>
      <c r="ED40" s="27" t="n"/>
      <c r="EE40" s="27" t="n"/>
      <c r="EF40" s="27" t="n"/>
      <c r="EG40" s="27" t="n"/>
      <c r="EH40" s="27" t="n"/>
      <c r="EI40" s="27" t="n"/>
      <c r="EJ40" s="27" t="n"/>
      <c r="EK40" s="27" t="n"/>
      <c r="EL40" s="27" t="n"/>
      <c r="EM40" s="27" t="n"/>
      <c r="EN40" s="27" t="n"/>
      <c r="EO40" s="27" t="n"/>
      <c r="EP40" s="27" t="n"/>
      <c r="EQ40" s="27" t="n"/>
      <c r="ER40" s="27" t="n"/>
      <c r="ES40" s="27" t="n"/>
      <c r="ET40" s="27" t="n"/>
      <c r="EU40" s="27" t="n"/>
      <c r="EV40" s="27" t="n"/>
      <c r="EW40" s="27" t="n"/>
      <c r="EX40" s="27" t="n"/>
      <c r="EY40" s="27" t="n"/>
      <c r="EZ40" s="27" t="n"/>
      <c r="FA40" s="27" t="n"/>
      <c r="FB40" s="27" t="n"/>
      <c r="FC40" s="27" t="n"/>
      <c r="FD40" s="27" t="n"/>
      <c r="FE40" s="27" t="n"/>
      <c r="FF40" s="27" t="n"/>
      <c r="FG40" s="27" t="n"/>
      <c r="FH40" s="27" t="n"/>
      <c r="FI40" s="27" t="n"/>
      <c r="FJ40" s="27" t="n"/>
      <c r="FK40" s="27" t="n"/>
      <c r="FL40" s="27" t="n"/>
      <c r="FM40" s="27" t="n"/>
      <c r="FN40" s="27" t="n"/>
      <c r="FO40" s="27" t="n"/>
      <c r="FP40" s="27" t="n"/>
      <c r="FQ40" s="27" t="n"/>
      <c r="FR40" s="27" t="n"/>
      <c r="FS40" s="27" t="n"/>
      <c r="FT40" s="27" t="n"/>
      <c r="FU40" s="27" t="n"/>
      <c r="FV40" s="27" t="n"/>
      <c r="FW40" s="27" t="n"/>
      <c r="FX40" s="27" t="n"/>
      <c r="FY40" s="27" t="n"/>
      <c r="FZ40" s="27" t="n"/>
      <c r="GA40" s="27" t="n"/>
      <c r="GB40" s="27" t="n"/>
      <c r="GC40" s="27" t="n"/>
      <c r="GD40" s="27" t="n"/>
      <c r="GE40" s="27" t="n"/>
      <c r="GF40" s="27" t="n"/>
      <c r="GG40" s="27" t="n"/>
      <c r="GH40" s="27" t="n"/>
      <c r="GI40" s="27" t="n"/>
      <c r="GJ40" s="27" t="n"/>
      <c r="GK40" s="27" t="n"/>
      <c r="GL40" s="27" t="n"/>
      <c r="GM40" s="27" t="n"/>
      <c r="GN40" s="27" t="n"/>
      <c r="GO40" s="27" t="n"/>
      <c r="GP40" s="27" t="n"/>
      <c r="GQ40" s="27" t="n"/>
      <c r="GR40" s="27" t="n"/>
      <c r="GS40" s="27" t="n"/>
      <c r="GT40" s="27" t="n"/>
      <c r="GU40" s="27" t="n"/>
      <c r="GV40" s="27" t="n"/>
      <c r="GW40" s="27" t="n"/>
      <c r="GX40" s="27" t="n"/>
      <c r="GY40" s="27" t="n"/>
      <c r="GZ40" s="27" t="n"/>
      <c r="HA40" s="27" t="n"/>
      <c r="HB40" s="27" t="n"/>
      <c r="HC40" s="27" t="n"/>
      <c r="HD40" s="27" t="n"/>
      <c r="HE40" s="27" t="n"/>
      <c r="HF40" s="27" t="n"/>
      <c r="HG40" s="27" t="n"/>
      <c r="HH40" s="27" t="n"/>
      <c r="HI40" s="27" t="n"/>
      <c r="HJ40" s="27" t="n"/>
      <c r="HK40" s="27" t="n"/>
      <c r="HL40" s="27" t="n"/>
      <c r="HM40" s="27" t="n"/>
      <c r="HN40" s="27" t="n"/>
      <c r="HO40" s="27" t="n"/>
      <c r="HP40" s="27" t="n"/>
      <c r="HQ40" s="27" t="n"/>
      <c r="HR40" s="27" t="n"/>
      <c r="HS40" s="27" t="n"/>
      <c r="HT40" s="27" t="n"/>
      <c r="HU40" s="27" t="n"/>
      <c r="HV40" s="27" t="n"/>
      <c r="HW40" s="27" t="n"/>
      <c r="HX40" s="27" t="n"/>
      <c r="HY40" s="27" t="n"/>
      <c r="HZ40" s="27" t="n"/>
      <c r="IA40" s="27" t="n"/>
      <c r="IB40" s="27" t="n"/>
      <c r="IC40" s="27" t="n"/>
      <c r="ID40" s="27" t="n"/>
      <c r="IE40" s="27" t="n"/>
      <c r="IF40" s="27" t="n"/>
      <c r="IG40" s="27" t="n"/>
      <c r="IH40" s="27" t="n"/>
      <c r="II40" s="27" t="n"/>
      <c r="IJ40" s="27" t="n"/>
      <c r="IK40" s="27" t="n"/>
      <c r="IL40" s="27" t="n"/>
      <c r="IM40" s="27" t="n"/>
      <c r="IN40" s="27" t="n"/>
      <c r="IO40" s="27" t="n"/>
      <c r="IP40" s="27" t="n"/>
      <c r="IQ40" s="27" t="n"/>
      <c r="IR40" s="27" t="n"/>
      <c r="IS40" s="27" t="n"/>
      <c r="IT40" s="27" t="n"/>
      <c r="IU40" s="27" t="n"/>
      <c r="IV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  <c r="AA41" s="27" t="n"/>
      <c r="AB41" s="27" t="n"/>
      <c r="AC41" s="27" t="n"/>
      <c r="AD41" s="27" t="n"/>
      <c r="AE41" s="27" t="n"/>
      <c r="AF41" s="27" t="n"/>
      <c r="AG41" s="27" t="n"/>
      <c r="AH41" s="27" t="n"/>
      <c r="AI41" s="27" t="n"/>
      <c r="AJ41" s="27" t="n"/>
      <c r="AK41" s="27" t="n"/>
      <c r="AL41" s="27" t="n"/>
      <c r="AM41" s="27" t="n"/>
      <c r="AN41" s="27" t="n"/>
      <c r="AO41" s="27" t="n"/>
      <c r="AP41" s="27" t="n"/>
      <c r="AQ41" s="27" t="n"/>
      <c r="AR41" s="27" t="n"/>
      <c r="AS41" s="27" t="n"/>
      <c r="AT41" s="27" t="n"/>
      <c r="AU41" s="27" t="n"/>
      <c r="AV41" s="27" t="n"/>
      <c r="AW41" s="27" t="n"/>
      <c r="AX41" s="27" t="n"/>
      <c r="AY41" s="27" t="n"/>
      <c r="AZ41" s="27" t="n"/>
      <c r="BA41" s="27" t="n"/>
      <c r="BB41" s="27" t="n"/>
      <c r="BC41" s="27" t="n"/>
      <c r="BD41" s="27" t="n"/>
      <c r="BE41" s="27" t="n"/>
      <c r="BF41" s="27" t="n"/>
      <c r="BG41" s="27" t="n"/>
      <c r="BH41" s="27" t="n"/>
      <c r="BI41" s="27" t="n"/>
      <c r="BJ41" s="27" t="n"/>
      <c r="BK41" s="27" t="n"/>
      <c r="BL41" s="27" t="n"/>
      <c r="BM41" s="27" t="n"/>
      <c r="BN41" s="27" t="n"/>
      <c r="BO41" s="27" t="n"/>
      <c r="BP41" s="27" t="n"/>
      <c r="BQ41" s="27" t="n"/>
      <c r="BR41" s="27" t="n"/>
      <c r="BS41" s="27" t="n"/>
      <c r="BT41" s="27" t="n"/>
      <c r="BU41" s="27" t="n"/>
      <c r="BV41" s="27" t="n"/>
      <c r="BW41" s="27" t="n"/>
      <c r="BX41" s="27" t="n"/>
      <c r="BY41" s="27" t="n"/>
      <c r="BZ41" s="27" t="n"/>
      <c r="CA41" s="27" t="n"/>
      <c r="CB41" s="27" t="n"/>
      <c r="CC41" s="27" t="n"/>
      <c r="CD41" s="27" t="n"/>
      <c r="CE41" s="27" t="n"/>
      <c r="CF41" s="27" t="n"/>
      <c r="CG41" s="27" t="n"/>
      <c r="CH41" s="27" t="n"/>
      <c r="CI41" s="27" t="n"/>
      <c r="CJ41" s="27" t="n"/>
      <c r="CK41" s="27" t="n"/>
      <c r="CL41" s="27" t="n"/>
      <c r="CM41" s="27" t="n"/>
      <c r="CN41" s="27" t="n"/>
      <c r="CO41" s="27" t="n"/>
      <c r="CP41" s="27" t="n"/>
      <c r="CQ41" s="27" t="n"/>
      <c r="CR41" s="27" t="n"/>
      <c r="CS41" s="27" t="n"/>
      <c r="CT41" s="27" t="n"/>
      <c r="CU41" s="27" t="n"/>
      <c r="CV41" s="27" t="n"/>
      <c r="CW41" s="27" t="n"/>
      <c r="CX41" s="27" t="n"/>
      <c r="CY41" s="27" t="n"/>
      <c r="CZ41" s="27" t="n"/>
      <c r="DA41" s="27" t="n"/>
      <c r="DB41" s="27" t="n"/>
      <c r="DC41" s="27" t="n"/>
      <c r="DD41" s="27" t="n"/>
      <c r="DE41" s="27" t="n"/>
      <c r="DF41" s="27" t="n"/>
      <c r="DG41" s="27" t="n"/>
      <c r="DH41" s="27" t="n"/>
      <c r="DI41" s="27" t="n"/>
      <c r="DJ41" s="27" t="n"/>
      <c r="DK41" s="27" t="n"/>
      <c r="DL41" s="27" t="n"/>
      <c r="DM41" s="27" t="n"/>
      <c r="DN41" s="27" t="n"/>
      <c r="DO41" s="27" t="n"/>
      <c r="DP41" s="27" t="n"/>
      <c r="DQ41" s="27" t="n"/>
      <c r="DR41" s="27" t="n"/>
      <c r="DS41" s="27" t="n"/>
      <c r="DT41" s="27" t="n"/>
      <c r="DU41" s="27" t="n"/>
      <c r="DV41" s="27" t="n"/>
      <c r="DW41" s="27" t="n"/>
      <c r="DX41" s="27" t="n"/>
      <c r="DY41" s="27" t="n"/>
      <c r="DZ41" s="27" t="n"/>
      <c r="EA41" s="27" t="n"/>
      <c r="EB41" s="27" t="n"/>
      <c r="EC41" s="27" t="n"/>
      <c r="ED41" s="27" t="n"/>
      <c r="EE41" s="27" t="n"/>
      <c r="EF41" s="27" t="n"/>
      <c r="EG41" s="27" t="n"/>
      <c r="EH41" s="27" t="n"/>
      <c r="EI41" s="27" t="n"/>
      <c r="EJ41" s="27" t="n"/>
      <c r="EK41" s="27" t="n"/>
      <c r="EL41" s="27" t="n"/>
      <c r="EM41" s="27" t="n"/>
      <c r="EN41" s="27" t="n"/>
      <c r="EO41" s="27" t="n"/>
      <c r="EP41" s="27" t="n"/>
      <c r="EQ41" s="27" t="n"/>
      <c r="ER41" s="27" t="n"/>
      <c r="ES41" s="27" t="n"/>
      <c r="ET41" s="27" t="n"/>
      <c r="EU41" s="27" t="n"/>
      <c r="EV41" s="27" t="n"/>
      <c r="EW41" s="27" t="n"/>
      <c r="EX41" s="27" t="n"/>
      <c r="EY41" s="27" t="n"/>
      <c r="EZ41" s="27" t="n"/>
      <c r="FA41" s="27" t="n"/>
      <c r="FB41" s="27" t="n"/>
      <c r="FC41" s="27" t="n"/>
      <c r="FD41" s="27" t="n"/>
      <c r="FE41" s="27" t="n"/>
      <c r="FF41" s="27" t="n"/>
      <c r="FG41" s="27" t="n"/>
      <c r="FH41" s="27" t="n"/>
      <c r="FI41" s="27" t="n"/>
      <c r="FJ41" s="27" t="n"/>
      <c r="FK41" s="27" t="n"/>
      <c r="FL41" s="27" t="n"/>
      <c r="FM41" s="27" t="n"/>
      <c r="FN41" s="27" t="n"/>
      <c r="FO41" s="27" t="n"/>
      <c r="FP41" s="27" t="n"/>
      <c r="FQ41" s="27" t="n"/>
      <c r="FR41" s="27" t="n"/>
      <c r="FS41" s="27" t="n"/>
      <c r="FT41" s="27" t="n"/>
      <c r="FU41" s="27" t="n"/>
      <c r="FV41" s="27" t="n"/>
      <c r="FW41" s="27" t="n"/>
      <c r="FX41" s="27" t="n"/>
      <c r="FY41" s="27" t="n"/>
      <c r="FZ41" s="27" t="n"/>
      <c r="GA41" s="27" t="n"/>
      <c r="GB41" s="27" t="n"/>
      <c r="GC41" s="27" t="n"/>
      <c r="GD41" s="27" t="n"/>
      <c r="GE41" s="27" t="n"/>
      <c r="GF41" s="27" t="n"/>
      <c r="GG41" s="27" t="n"/>
      <c r="GH41" s="27" t="n"/>
      <c r="GI41" s="27" t="n"/>
      <c r="GJ41" s="27" t="n"/>
      <c r="GK41" s="27" t="n"/>
      <c r="GL41" s="27" t="n"/>
      <c r="GM41" s="27" t="n"/>
      <c r="GN41" s="27" t="n"/>
      <c r="GO41" s="27" t="n"/>
      <c r="GP41" s="27" t="n"/>
      <c r="GQ41" s="27" t="n"/>
      <c r="GR41" s="27" t="n"/>
      <c r="GS41" s="27" t="n"/>
      <c r="GT41" s="27" t="n"/>
      <c r="GU41" s="27" t="n"/>
      <c r="GV41" s="27" t="n"/>
      <c r="GW41" s="27" t="n"/>
      <c r="GX41" s="27" t="n"/>
      <c r="GY41" s="27" t="n"/>
      <c r="GZ41" s="27" t="n"/>
      <c r="HA41" s="27" t="n"/>
      <c r="HB41" s="27" t="n"/>
      <c r="HC41" s="27" t="n"/>
      <c r="HD41" s="27" t="n"/>
      <c r="HE41" s="27" t="n"/>
      <c r="HF41" s="27" t="n"/>
      <c r="HG41" s="27" t="n"/>
      <c r="HH41" s="27" t="n"/>
      <c r="HI41" s="27" t="n"/>
      <c r="HJ41" s="27" t="n"/>
      <c r="HK41" s="27" t="n"/>
      <c r="HL41" s="27" t="n"/>
      <c r="HM41" s="27" t="n"/>
      <c r="HN41" s="27" t="n"/>
      <c r="HO41" s="27" t="n"/>
      <c r="HP41" s="27" t="n"/>
      <c r="HQ41" s="27" t="n"/>
      <c r="HR41" s="27" t="n"/>
      <c r="HS41" s="27" t="n"/>
      <c r="HT41" s="27" t="n"/>
      <c r="HU41" s="27" t="n"/>
      <c r="HV41" s="27" t="n"/>
      <c r="HW41" s="27" t="n"/>
      <c r="HX41" s="27" t="n"/>
      <c r="HY41" s="27" t="n"/>
      <c r="HZ41" s="27" t="n"/>
      <c r="IA41" s="27" t="n"/>
      <c r="IB41" s="27" t="n"/>
      <c r="IC41" s="27" t="n"/>
      <c r="ID41" s="27" t="n"/>
      <c r="IE41" s="27" t="n"/>
      <c r="IF41" s="27" t="n"/>
      <c r="IG41" s="27" t="n"/>
      <c r="IH41" s="27" t="n"/>
      <c r="II41" s="27" t="n"/>
      <c r="IJ41" s="27" t="n"/>
      <c r="IK41" s="27" t="n"/>
      <c r="IL41" s="27" t="n"/>
      <c r="IM41" s="27" t="n"/>
      <c r="IN41" s="27" t="n"/>
      <c r="IO41" s="27" t="n"/>
      <c r="IP41" s="27" t="n"/>
      <c r="IQ41" s="27" t="n"/>
      <c r="IR41" s="27" t="n"/>
      <c r="IS41" s="27" t="n"/>
      <c r="IT41" s="27" t="n"/>
      <c r="IU41" s="27" t="n"/>
      <c r="IV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  <c r="AA42" s="27" t="n"/>
      <c r="AB42" s="27" t="n"/>
      <c r="AC42" s="27" t="n"/>
      <c r="AD42" s="27" t="n"/>
      <c r="AE42" s="27" t="n"/>
      <c r="AF42" s="27" t="n"/>
      <c r="AG42" s="27" t="n"/>
      <c r="AH42" s="27" t="n"/>
      <c r="AI42" s="27" t="n"/>
      <c r="AJ42" s="27" t="n"/>
      <c r="AK42" s="27" t="n"/>
      <c r="AL42" s="27" t="n"/>
      <c r="AM42" s="27" t="n"/>
      <c r="AN42" s="27" t="n"/>
      <c r="AO42" s="27" t="n"/>
      <c r="AP42" s="27" t="n"/>
      <c r="AQ42" s="27" t="n"/>
      <c r="AR42" s="27" t="n"/>
      <c r="AS42" s="27" t="n"/>
      <c r="AT42" s="27" t="n"/>
      <c r="AU42" s="27" t="n"/>
      <c r="AV42" s="27" t="n"/>
      <c r="AW42" s="27" t="n"/>
      <c r="AX42" s="27" t="n"/>
      <c r="AY42" s="27" t="n"/>
      <c r="AZ42" s="27" t="n"/>
      <c r="BA42" s="27" t="n"/>
      <c r="BB42" s="27" t="n"/>
      <c r="BC42" s="27" t="n"/>
      <c r="BD42" s="27" t="n"/>
      <c r="BE42" s="27" t="n"/>
      <c r="BF42" s="27" t="n"/>
      <c r="BG42" s="27" t="n"/>
      <c r="BH42" s="27" t="n"/>
      <c r="BI42" s="27" t="n"/>
      <c r="BJ42" s="27" t="n"/>
      <c r="BK42" s="27" t="n"/>
      <c r="BL42" s="27" t="n"/>
      <c r="BM42" s="27" t="n"/>
      <c r="BN42" s="27" t="n"/>
      <c r="BO42" s="27" t="n"/>
      <c r="BP42" s="27" t="n"/>
      <c r="BQ42" s="27" t="n"/>
      <c r="BR42" s="27" t="n"/>
      <c r="BS42" s="27" t="n"/>
      <c r="BT42" s="27" t="n"/>
      <c r="BU42" s="27" t="n"/>
      <c r="BV42" s="27" t="n"/>
      <c r="BW42" s="27" t="n"/>
      <c r="BX42" s="27" t="n"/>
      <c r="BY42" s="27" t="n"/>
      <c r="BZ42" s="27" t="n"/>
      <c r="CA42" s="27" t="n"/>
      <c r="CB42" s="27" t="n"/>
      <c r="CC42" s="27" t="n"/>
      <c r="CD42" s="27" t="n"/>
      <c r="CE42" s="27" t="n"/>
      <c r="CF42" s="27" t="n"/>
      <c r="CG42" s="27" t="n"/>
      <c r="CH42" s="27" t="n"/>
      <c r="CI42" s="27" t="n"/>
      <c r="CJ42" s="27" t="n"/>
      <c r="CK42" s="27" t="n"/>
      <c r="CL42" s="27" t="n"/>
      <c r="CM42" s="27" t="n"/>
      <c r="CN42" s="27" t="n"/>
      <c r="CO42" s="27" t="n"/>
      <c r="CP42" s="27" t="n"/>
      <c r="CQ42" s="27" t="n"/>
      <c r="CR42" s="27" t="n"/>
      <c r="CS42" s="27" t="n"/>
      <c r="CT42" s="27" t="n"/>
      <c r="CU42" s="27" t="n"/>
      <c r="CV42" s="27" t="n"/>
      <c r="CW42" s="27" t="n"/>
      <c r="CX42" s="27" t="n"/>
      <c r="CY42" s="27" t="n"/>
      <c r="CZ42" s="27" t="n"/>
      <c r="DA42" s="27" t="n"/>
      <c r="DB42" s="27" t="n"/>
      <c r="DC42" s="27" t="n"/>
      <c r="DD42" s="27" t="n"/>
      <c r="DE42" s="27" t="n"/>
      <c r="DF42" s="27" t="n"/>
      <c r="DG42" s="27" t="n"/>
      <c r="DH42" s="27" t="n"/>
      <c r="DI42" s="27" t="n"/>
      <c r="DJ42" s="27" t="n"/>
      <c r="DK42" s="27" t="n"/>
      <c r="DL42" s="27" t="n"/>
      <c r="DM42" s="27" t="n"/>
      <c r="DN42" s="27" t="n"/>
      <c r="DO42" s="27" t="n"/>
      <c r="DP42" s="27" t="n"/>
      <c r="DQ42" s="27" t="n"/>
      <c r="DR42" s="27" t="n"/>
      <c r="DS42" s="27" t="n"/>
      <c r="DT42" s="27" t="n"/>
      <c r="DU42" s="27" t="n"/>
      <c r="DV42" s="27" t="n"/>
      <c r="DW42" s="27" t="n"/>
      <c r="DX42" s="27" t="n"/>
      <c r="DY42" s="27" t="n"/>
      <c r="DZ42" s="27" t="n"/>
      <c r="EA42" s="27" t="n"/>
      <c r="EB42" s="27" t="n"/>
      <c r="EC42" s="27" t="n"/>
      <c r="ED42" s="27" t="n"/>
      <c r="EE42" s="27" t="n"/>
      <c r="EF42" s="27" t="n"/>
      <c r="EG42" s="27" t="n"/>
      <c r="EH42" s="27" t="n"/>
      <c r="EI42" s="27" t="n"/>
      <c r="EJ42" s="27" t="n"/>
      <c r="EK42" s="27" t="n"/>
      <c r="EL42" s="27" t="n"/>
      <c r="EM42" s="27" t="n"/>
      <c r="EN42" s="27" t="n"/>
      <c r="EO42" s="27" t="n"/>
      <c r="EP42" s="27" t="n"/>
      <c r="EQ42" s="27" t="n"/>
      <c r="ER42" s="27" t="n"/>
      <c r="ES42" s="27" t="n"/>
      <c r="ET42" s="27" t="n"/>
      <c r="EU42" s="27" t="n"/>
      <c r="EV42" s="27" t="n"/>
      <c r="EW42" s="27" t="n"/>
      <c r="EX42" s="27" t="n"/>
      <c r="EY42" s="27" t="n"/>
      <c r="EZ42" s="27" t="n"/>
      <c r="FA42" s="27" t="n"/>
      <c r="FB42" s="27" t="n"/>
      <c r="FC42" s="27" t="n"/>
      <c r="FD42" s="27" t="n"/>
      <c r="FE42" s="27" t="n"/>
      <c r="FF42" s="27" t="n"/>
      <c r="FG42" s="27" t="n"/>
      <c r="FH42" s="27" t="n"/>
      <c r="FI42" s="27" t="n"/>
      <c r="FJ42" s="27" t="n"/>
      <c r="FK42" s="27" t="n"/>
      <c r="FL42" s="27" t="n"/>
      <c r="FM42" s="27" t="n"/>
      <c r="FN42" s="27" t="n"/>
      <c r="FO42" s="27" t="n"/>
      <c r="FP42" s="27" t="n"/>
      <c r="FQ42" s="27" t="n"/>
      <c r="FR42" s="27" t="n"/>
      <c r="FS42" s="27" t="n"/>
      <c r="FT42" s="27" t="n"/>
      <c r="FU42" s="27" t="n"/>
      <c r="FV42" s="27" t="n"/>
      <c r="FW42" s="27" t="n"/>
      <c r="FX42" s="27" t="n"/>
      <c r="FY42" s="27" t="n"/>
      <c r="FZ42" s="27" t="n"/>
      <c r="GA42" s="27" t="n"/>
      <c r="GB42" s="27" t="n"/>
      <c r="GC42" s="27" t="n"/>
      <c r="GD42" s="27" t="n"/>
      <c r="GE42" s="27" t="n"/>
      <c r="GF42" s="27" t="n"/>
      <c r="GG42" s="27" t="n"/>
      <c r="GH42" s="27" t="n"/>
      <c r="GI42" s="27" t="n"/>
      <c r="GJ42" s="27" t="n"/>
      <c r="GK42" s="27" t="n"/>
      <c r="GL42" s="27" t="n"/>
      <c r="GM42" s="27" t="n"/>
      <c r="GN42" s="27" t="n"/>
      <c r="GO42" s="27" t="n"/>
      <c r="GP42" s="27" t="n"/>
      <c r="GQ42" s="27" t="n"/>
      <c r="GR42" s="27" t="n"/>
      <c r="GS42" s="27" t="n"/>
      <c r="GT42" s="27" t="n"/>
      <c r="GU42" s="27" t="n"/>
      <c r="GV42" s="27" t="n"/>
      <c r="GW42" s="27" t="n"/>
      <c r="GX42" s="27" t="n"/>
      <c r="GY42" s="27" t="n"/>
      <c r="GZ42" s="27" t="n"/>
      <c r="HA42" s="27" t="n"/>
      <c r="HB42" s="27" t="n"/>
      <c r="HC42" s="27" t="n"/>
      <c r="HD42" s="27" t="n"/>
      <c r="HE42" s="27" t="n"/>
      <c r="HF42" s="27" t="n"/>
      <c r="HG42" s="27" t="n"/>
      <c r="HH42" s="27" t="n"/>
      <c r="HI42" s="27" t="n"/>
      <c r="HJ42" s="27" t="n"/>
      <c r="HK42" s="27" t="n"/>
      <c r="HL42" s="27" t="n"/>
      <c r="HM42" s="27" t="n"/>
      <c r="HN42" s="27" t="n"/>
      <c r="HO42" s="27" t="n"/>
      <c r="HP42" s="27" t="n"/>
      <c r="HQ42" s="27" t="n"/>
      <c r="HR42" s="27" t="n"/>
      <c r="HS42" s="27" t="n"/>
      <c r="HT42" s="27" t="n"/>
      <c r="HU42" s="27" t="n"/>
      <c r="HV42" s="27" t="n"/>
      <c r="HW42" s="27" t="n"/>
      <c r="HX42" s="27" t="n"/>
      <c r="HY42" s="27" t="n"/>
      <c r="HZ42" s="27" t="n"/>
      <c r="IA42" s="27" t="n"/>
      <c r="IB42" s="27" t="n"/>
      <c r="IC42" s="27" t="n"/>
      <c r="ID42" s="27" t="n"/>
      <c r="IE42" s="27" t="n"/>
      <c r="IF42" s="27" t="n"/>
      <c r="IG42" s="27" t="n"/>
      <c r="IH42" s="27" t="n"/>
      <c r="II42" s="27" t="n"/>
      <c r="IJ42" s="27" t="n"/>
      <c r="IK42" s="27" t="n"/>
      <c r="IL42" s="27" t="n"/>
      <c r="IM42" s="27" t="n"/>
      <c r="IN42" s="27" t="n"/>
      <c r="IO42" s="27" t="n"/>
      <c r="IP42" s="27" t="n"/>
      <c r="IQ42" s="27" t="n"/>
      <c r="IR42" s="27" t="n"/>
      <c r="IS42" s="27" t="n"/>
      <c r="IT42" s="27" t="n"/>
      <c r="IU42" s="27" t="n"/>
      <c r="IV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  <c r="AA43" s="27" t="n"/>
      <c r="AB43" s="27" t="n"/>
      <c r="AC43" s="27" t="n"/>
      <c r="AD43" s="27" t="n"/>
      <c r="AE43" s="27" t="n"/>
      <c r="AF43" s="27" t="n"/>
      <c r="AG43" s="27" t="n"/>
      <c r="AH43" s="27" t="n"/>
      <c r="AI43" s="27" t="n"/>
      <c r="AJ43" s="27" t="n"/>
      <c r="AK43" s="27" t="n"/>
      <c r="AL43" s="27" t="n"/>
      <c r="AM43" s="27" t="n"/>
      <c r="AN43" s="27" t="n"/>
      <c r="AO43" s="27" t="n"/>
      <c r="AP43" s="27" t="n"/>
      <c r="AQ43" s="27" t="n"/>
      <c r="AR43" s="27" t="n"/>
      <c r="AS43" s="27" t="n"/>
      <c r="AT43" s="27" t="n"/>
      <c r="AU43" s="27" t="n"/>
      <c r="AV43" s="27" t="n"/>
      <c r="AW43" s="27" t="n"/>
      <c r="AX43" s="27" t="n"/>
      <c r="AY43" s="27" t="n"/>
      <c r="AZ43" s="27" t="n"/>
      <c r="BA43" s="27" t="n"/>
      <c r="BB43" s="27" t="n"/>
      <c r="BC43" s="27" t="n"/>
      <c r="BD43" s="27" t="n"/>
      <c r="BE43" s="27" t="n"/>
      <c r="BF43" s="27" t="n"/>
      <c r="BG43" s="27" t="n"/>
      <c r="BH43" s="27" t="n"/>
      <c r="BI43" s="27" t="n"/>
      <c r="BJ43" s="27" t="n"/>
      <c r="BK43" s="27" t="n"/>
      <c r="BL43" s="27" t="n"/>
      <c r="BM43" s="27" t="n"/>
      <c r="BN43" s="27" t="n"/>
      <c r="BO43" s="27" t="n"/>
      <c r="BP43" s="27" t="n"/>
      <c r="BQ43" s="27" t="n"/>
      <c r="BR43" s="27" t="n"/>
      <c r="BS43" s="27" t="n"/>
      <c r="BT43" s="27" t="n"/>
      <c r="BU43" s="27" t="n"/>
      <c r="BV43" s="27" t="n"/>
      <c r="BW43" s="27" t="n"/>
      <c r="BX43" s="27" t="n"/>
      <c r="BY43" s="27" t="n"/>
      <c r="BZ43" s="27" t="n"/>
      <c r="CA43" s="27" t="n"/>
      <c r="CB43" s="27" t="n"/>
      <c r="CC43" s="27" t="n"/>
      <c r="CD43" s="27" t="n"/>
      <c r="CE43" s="27" t="n"/>
      <c r="CF43" s="27" t="n"/>
      <c r="CG43" s="27" t="n"/>
      <c r="CH43" s="27" t="n"/>
      <c r="CI43" s="27" t="n"/>
      <c r="CJ43" s="27" t="n"/>
      <c r="CK43" s="27" t="n"/>
      <c r="CL43" s="27" t="n"/>
      <c r="CM43" s="27" t="n"/>
      <c r="CN43" s="27" t="n"/>
      <c r="CO43" s="27" t="n"/>
      <c r="CP43" s="27" t="n"/>
      <c r="CQ43" s="27" t="n"/>
      <c r="CR43" s="27" t="n"/>
      <c r="CS43" s="27" t="n"/>
      <c r="CT43" s="27" t="n"/>
      <c r="CU43" s="27" t="n"/>
      <c r="CV43" s="27" t="n"/>
      <c r="CW43" s="27" t="n"/>
      <c r="CX43" s="27" t="n"/>
      <c r="CY43" s="27" t="n"/>
      <c r="CZ43" s="27" t="n"/>
      <c r="DA43" s="27" t="n"/>
      <c r="DB43" s="27" t="n"/>
      <c r="DC43" s="27" t="n"/>
      <c r="DD43" s="27" t="n"/>
      <c r="DE43" s="27" t="n"/>
      <c r="DF43" s="27" t="n"/>
      <c r="DG43" s="27" t="n"/>
      <c r="DH43" s="27" t="n"/>
      <c r="DI43" s="27" t="n"/>
      <c r="DJ43" s="27" t="n"/>
      <c r="DK43" s="27" t="n"/>
      <c r="DL43" s="27" t="n"/>
      <c r="DM43" s="27" t="n"/>
      <c r="DN43" s="27" t="n"/>
      <c r="DO43" s="27" t="n"/>
      <c r="DP43" s="27" t="n"/>
      <c r="DQ43" s="27" t="n"/>
      <c r="DR43" s="27" t="n"/>
      <c r="DS43" s="27" t="n"/>
      <c r="DT43" s="27" t="n"/>
      <c r="DU43" s="27" t="n"/>
      <c r="DV43" s="27" t="n"/>
      <c r="DW43" s="27" t="n"/>
      <c r="DX43" s="27" t="n"/>
      <c r="DY43" s="27" t="n"/>
      <c r="DZ43" s="27" t="n"/>
      <c r="EA43" s="27" t="n"/>
      <c r="EB43" s="27" t="n"/>
      <c r="EC43" s="27" t="n"/>
      <c r="ED43" s="27" t="n"/>
      <c r="EE43" s="27" t="n"/>
      <c r="EF43" s="27" t="n"/>
      <c r="EG43" s="27" t="n"/>
      <c r="EH43" s="27" t="n"/>
      <c r="EI43" s="27" t="n"/>
      <c r="EJ43" s="27" t="n"/>
      <c r="EK43" s="27" t="n"/>
      <c r="EL43" s="27" t="n"/>
      <c r="EM43" s="27" t="n"/>
      <c r="EN43" s="27" t="n"/>
      <c r="EO43" s="27" t="n"/>
      <c r="EP43" s="27" t="n"/>
      <c r="EQ43" s="27" t="n"/>
      <c r="ER43" s="27" t="n"/>
      <c r="ES43" s="27" t="n"/>
      <c r="ET43" s="27" t="n"/>
      <c r="EU43" s="27" t="n"/>
      <c r="EV43" s="27" t="n"/>
      <c r="EW43" s="27" t="n"/>
      <c r="EX43" s="27" t="n"/>
      <c r="EY43" s="27" t="n"/>
      <c r="EZ43" s="27" t="n"/>
      <c r="FA43" s="27" t="n"/>
      <c r="FB43" s="27" t="n"/>
      <c r="FC43" s="27" t="n"/>
      <c r="FD43" s="27" t="n"/>
      <c r="FE43" s="27" t="n"/>
      <c r="FF43" s="27" t="n"/>
      <c r="FG43" s="27" t="n"/>
      <c r="FH43" s="27" t="n"/>
      <c r="FI43" s="27" t="n"/>
      <c r="FJ43" s="27" t="n"/>
      <c r="FK43" s="27" t="n"/>
      <c r="FL43" s="27" t="n"/>
      <c r="FM43" s="27" t="n"/>
      <c r="FN43" s="27" t="n"/>
      <c r="FO43" s="27" t="n"/>
      <c r="FP43" s="27" t="n"/>
      <c r="FQ43" s="27" t="n"/>
      <c r="FR43" s="27" t="n"/>
      <c r="FS43" s="27" t="n"/>
      <c r="FT43" s="27" t="n"/>
      <c r="FU43" s="27" t="n"/>
      <c r="FV43" s="27" t="n"/>
      <c r="FW43" s="27" t="n"/>
      <c r="FX43" s="27" t="n"/>
      <c r="FY43" s="27" t="n"/>
      <c r="FZ43" s="27" t="n"/>
      <c r="GA43" s="27" t="n"/>
      <c r="GB43" s="27" t="n"/>
      <c r="GC43" s="27" t="n"/>
      <c r="GD43" s="27" t="n"/>
      <c r="GE43" s="27" t="n"/>
      <c r="GF43" s="27" t="n"/>
      <c r="GG43" s="27" t="n"/>
      <c r="GH43" s="27" t="n"/>
      <c r="GI43" s="27" t="n"/>
      <c r="GJ43" s="27" t="n"/>
      <c r="GK43" s="27" t="n"/>
      <c r="GL43" s="27" t="n"/>
      <c r="GM43" s="27" t="n"/>
      <c r="GN43" s="27" t="n"/>
      <c r="GO43" s="27" t="n"/>
      <c r="GP43" s="27" t="n"/>
      <c r="GQ43" s="27" t="n"/>
      <c r="GR43" s="27" t="n"/>
      <c r="GS43" s="27" t="n"/>
      <c r="GT43" s="27" t="n"/>
      <c r="GU43" s="27" t="n"/>
      <c r="GV43" s="27" t="n"/>
      <c r="GW43" s="27" t="n"/>
      <c r="GX43" s="27" t="n"/>
      <c r="GY43" s="27" t="n"/>
      <c r="GZ43" s="27" t="n"/>
      <c r="HA43" s="27" t="n"/>
      <c r="HB43" s="27" t="n"/>
      <c r="HC43" s="27" t="n"/>
      <c r="HD43" s="27" t="n"/>
      <c r="HE43" s="27" t="n"/>
      <c r="HF43" s="27" t="n"/>
      <c r="HG43" s="27" t="n"/>
      <c r="HH43" s="27" t="n"/>
      <c r="HI43" s="27" t="n"/>
      <c r="HJ43" s="27" t="n"/>
      <c r="HK43" s="27" t="n"/>
      <c r="HL43" s="27" t="n"/>
      <c r="HM43" s="27" t="n"/>
      <c r="HN43" s="27" t="n"/>
      <c r="HO43" s="27" t="n"/>
      <c r="HP43" s="27" t="n"/>
      <c r="HQ43" s="27" t="n"/>
      <c r="HR43" s="27" t="n"/>
      <c r="HS43" s="27" t="n"/>
      <c r="HT43" s="27" t="n"/>
      <c r="HU43" s="27" t="n"/>
      <c r="HV43" s="27" t="n"/>
      <c r="HW43" s="27" t="n"/>
      <c r="HX43" s="27" t="n"/>
      <c r="HY43" s="27" t="n"/>
      <c r="HZ43" s="27" t="n"/>
      <c r="IA43" s="27" t="n"/>
      <c r="IB43" s="27" t="n"/>
      <c r="IC43" s="27" t="n"/>
      <c r="ID43" s="27" t="n"/>
      <c r="IE43" s="27" t="n"/>
      <c r="IF43" s="27" t="n"/>
      <c r="IG43" s="27" t="n"/>
      <c r="IH43" s="27" t="n"/>
      <c r="II43" s="27" t="n"/>
      <c r="IJ43" s="27" t="n"/>
      <c r="IK43" s="27" t="n"/>
      <c r="IL43" s="27" t="n"/>
      <c r="IM43" s="27" t="n"/>
      <c r="IN43" s="27" t="n"/>
      <c r="IO43" s="27" t="n"/>
      <c r="IP43" s="27" t="n"/>
      <c r="IQ43" s="27" t="n"/>
      <c r="IR43" s="27" t="n"/>
      <c r="IS43" s="27" t="n"/>
      <c r="IT43" s="27" t="n"/>
      <c r="IU43" s="27" t="n"/>
      <c r="IV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  <c r="AA44" s="27" t="n"/>
      <c r="AB44" s="27" t="n"/>
      <c r="AC44" s="27" t="n"/>
      <c r="AD44" s="27" t="n"/>
      <c r="AE44" s="27" t="n"/>
      <c r="AF44" s="27" t="n"/>
      <c r="AG44" s="27" t="n"/>
      <c r="AH44" s="27" t="n"/>
      <c r="AI44" s="27" t="n"/>
      <c r="AJ44" s="27" t="n"/>
      <c r="AK44" s="27" t="n"/>
      <c r="AL44" s="27" t="n"/>
      <c r="AM44" s="27" t="n"/>
      <c r="AN44" s="27" t="n"/>
      <c r="AO44" s="27" t="n"/>
      <c r="AP44" s="27" t="n"/>
      <c r="AQ44" s="27" t="n"/>
      <c r="AR44" s="27" t="n"/>
      <c r="AS44" s="27" t="n"/>
      <c r="AT44" s="27" t="n"/>
      <c r="AU44" s="27" t="n"/>
      <c r="AV44" s="27" t="n"/>
      <c r="AW44" s="27" t="n"/>
      <c r="AX44" s="27" t="n"/>
      <c r="AY44" s="27" t="n"/>
      <c r="AZ44" s="27" t="n"/>
      <c r="BA44" s="27" t="n"/>
      <c r="BB44" s="27" t="n"/>
      <c r="BC44" s="27" t="n"/>
      <c r="BD44" s="27" t="n"/>
      <c r="BE44" s="27" t="n"/>
      <c r="BF44" s="27" t="n"/>
      <c r="BG44" s="27" t="n"/>
      <c r="BH44" s="27" t="n"/>
      <c r="BI44" s="27" t="n"/>
      <c r="BJ44" s="27" t="n"/>
      <c r="BK44" s="27" t="n"/>
      <c r="BL44" s="27" t="n"/>
      <c r="BM44" s="27" t="n"/>
      <c r="BN44" s="27" t="n"/>
      <c r="BO44" s="27" t="n"/>
      <c r="BP44" s="27" t="n"/>
      <c r="BQ44" s="27" t="n"/>
      <c r="BR44" s="27" t="n"/>
      <c r="BS44" s="27" t="n"/>
      <c r="BT44" s="27" t="n"/>
      <c r="BU44" s="27" t="n"/>
      <c r="BV44" s="27" t="n"/>
      <c r="BW44" s="27" t="n"/>
      <c r="BX44" s="27" t="n"/>
      <c r="BY44" s="27" t="n"/>
      <c r="BZ44" s="27" t="n"/>
      <c r="CA44" s="27" t="n"/>
      <c r="CB44" s="27" t="n"/>
      <c r="CC44" s="27" t="n"/>
      <c r="CD44" s="27" t="n"/>
      <c r="CE44" s="27" t="n"/>
      <c r="CF44" s="27" t="n"/>
      <c r="CG44" s="27" t="n"/>
      <c r="CH44" s="27" t="n"/>
      <c r="CI44" s="27" t="n"/>
      <c r="CJ44" s="27" t="n"/>
      <c r="CK44" s="27" t="n"/>
      <c r="CL44" s="27" t="n"/>
      <c r="CM44" s="27" t="n"/>
      <c r="CN44" s="27" t="n"/>
      <c r="CO44" s="27" t="n"/>
      <c r="CP44" s="27" t="n"/>
      <c r="CQ44" s="27" t="n"/>
      <c r="CR44" s="27" t="n"/>
      <c r="CS44" s="27" t="n"/>
      <c r="CT44" s="27" t="n"/>
      <c r="CU44" s="27" t="n"/>
      <c r="CV44" s="27" t="n"/>
      <c r="CW44" s="27" t="n"/>
      <c r="CX44" s="27" t="n"/>
      <c r="CY44" s="27" t="n"/>
      <c r="CZ44" s="27" t="n"/>
      <c r="DA44" s="27" t="n"/>
      <c r="DB44" s="27" t="n"/>
      <c r="DC44" s="27" t="n"/>
      <c r="DD44" s="27" t="n"/>
      <c r="DE44" s="27" t="n"/>
      <c r="DF44" s="27" t="n"/>
      <c r="DG44" s="27" t="n"/>
      <c r="DH44" s="27" t="n"/>
      <c r="DI44" s="27" t="n"/>
      <c r="DJ44" s="27" t="n"/>
      <c r="DK44" s="27" t="n"/>
      <c r="DL44" s="27" t="n"/>
      <c r="DM44" s="27" t="n"/>
      <c r="DN44" s="27" t="n"/>
      <c r="DO44" s="27" t="n"/>
      <c r="DP44" s="27" t="n"/>
      <c r="DQ44" s="27" t="n"/>
      <c r="DR44" s="27" t="n"/>
      <c r="DS44" s="27" t="n"/>
      <c r="DT44" s="27" t="n"/>
      <c r="DU44" s="27" t="n"/>
      <c r="DV44" s="27" t="n"/>
      <c r="DW44" s="27" t="n"/>
      <c r="DX44" s="27" t="n"/>
      <c r="DY44" s="27" t="n"/>
      <c r="DZ44" s="27" t="n"/>
      <c r="EA44" s="27" t="n"/>
      <c r="EB44" s="27" t="n"/>
      <c r="EC44" s="27" t="n"/>
      <c r="ED44" s="27" t="n"/>
      <c r="EE44" s="27" t="n"/>
      <c r="EF44" s="27" t="n"/>
      <c r="EG44" s="27" t="n"/>
      <c r="EH44" s="27" t="n"/>
      <c r="EI44" s="27" t="n"/>
      <c r="EJ44" s="27" t="n"/>
      <c r="EK44" s="27" t="n"/>
      <c r="EL44" s="27" t="n"/>
      <c r="EM44" s="27" t="n"/>
      <c r="EN44" s="27" t="n"/>
      <c r="EO44" s="27" t="n"/>
      <c r="EP44" s="27" t="n"/>
      <c r="EQ44" s="27" t="n"/>
      <c r="ER44" s="27" t="n"/>
      <c r="ES44" s="27" t="n"/>
      <c r="ET44" s="27" t="n"/>
      <c r="EU44" s="27" t="n"/>
      <c r="EV44" s="27" t="n"/>
      <c r="EW44" s="27" t="n"/>
      <c r="EX44" s="27" t="n"/>
      <c r="EY44" s="27" t="n"/>
      <c r="EZ44" s="27" t="n"/>
      <c r="FA44" s="27" t="n"/>
      <c r="FB44" s="27" t="n"/>
      <c r="FC44" s="27" t="n"/>
      <c r="FD44" s="27" t="n"/>
      <c r="FE44" s="27" t="n"/>
      <c r="FF44" s="27" t="n"/>
      <c r="FG44" s="27" t="n"/>
      <c r="FH44" s="27" t="n"/>
      <c r="FI44" s="27" t="n"/>
      <c r="FJ44" s="27" t="n"/>
      <c r="FK44" s="27" t="n"/>
      <c r="FL44" s="27" t="n"/>
      <c r="FM44" s="27" t="n"/>
      <c r="FN44" s="27" t="n"/>
      <c r="FO44" s="27" t="n"/>
      <c r="FP44" s="27" t="n"/>
      <c r="FQ44" s="27" t="n"/>
      <c r="FR44" s="27" t="n"/>
      <c r="FS44" s="27" t="n"/>
      <c r="FT44" s="27" t="n"/>
      <c r="FU44" s="27" t="n"/>
      <c r="FV44" s="27" t="n"/>
      <c r="FW44" s="27" t="n"/>
      <c r="FX44" s="27" t="n"/>
      <c r="FY44" s="27" t="n"/>
      <c r="FZ44" s="27" t="n"/>
      <c r="GA44" s="27" t="n"/>
      <c r="GB44" s="27" t="n"/>
      <c r="GC44" s="27" t="n"/>
      <c r="GD44" s="27" t="n"/>
      <c r="GE44" s="27" t="n"/>
      <c r="GF44" s="27" t="n"/>
      <c r="GG44" s="27" t="n"/>
      <c r="GH44" s="27" t="n"/>
      <c r="GI44" s="27" t="n"/>
      <c r="GJ44" s="27" t="n"/>
      <c r="GK44" s="27" t="n"/>
      <c r="GL44" s="27" t="n"/>
      <c r="GM44" s="27" t="n"/>
      <c r="GN44" s="27" t="n"/>
      <c r="GO44" s="27" t="n"/>
      <c r="GP44" s="27" t="n"/>
      <c r="GQ44" s="27" t="n"/>
      <c r="GR44" s="27" t="n"/>
      <c r="GS44" s="27" t="n"/>
      <c r="GT44" s="27" t="n"/>
      <c r="GU44" s="27" t="n"/>
      <c r="GV44" s="27" t="n"/>
      <c r="GW44" s="27" t="n"/>
      <c r="GX44" s="27" t="n"/>
      <c r="GY44" s="27" t="n"/>
      <c r="GZ44" s="27" t="n"/>
      <c r="HA44" s="27" t="n"/>
      <c r="HB44" s="27" t="n"/>
      <c r="HC44" s="27" t="n"/>
      <c r="HD44" s="27" t="n"/>
      <c r="HE44" s="27" t="n"/>
      <c r="HF44" s="27" t="n"/>
      <c r="HG44" s="27" t="n"/>
      <c r="HH44" s="27" t="n"/>
      <c r="HI44" s="27" t="n"/>
      <c r="HJ44" s="27" t="n"/>
      <c r="HK44" s="27" t="n"/>
      <c r="HL44" s="27" t="n"/>
      <c r="HM44" s="27" t="n"/>
      <c r="HN44" s="27" t="n"/>
      <c r="HO44" s="27" t="n"/>
      <c r="HP44" s="27" t="n"/>
      <c r="HQ44" s="27" t="n"/>
      <c r="HR44" s="27" t="n"/>
      <c r="HS44" s="27" t="n"/>
      <c r="HT44" s="27" t="n"/>
      <c r="HU44" s="27" t="n"/>
      <c r="HV44" s="27" t="n"/>
      <c r="HW44" s="27" t="n"/>
      <c r="HX44" s="27" t="n"/>
      <c r="HY44" s="27" t="n"/>
      <c r="HZ44" s="27" t="n"/>
      <c r="IA44" s="27" t="n"/>
      <c r="IB44" s="27" t="n"/>
      <c r="IC44" s="27" t="n"/>
      <c r="ID44" s="27" t="n"/>
      <c r="IE44" s="27" t="n"/>
      <c r="IF44" s="27" t="n"/>
      <c r="IG44" s="27" t="n"/>
      <c r="IH44" s="27" t="n"/>
      <c r="II44" s="27" t="n"/>
      <c r="IJ44" s="27" t="n"/>
      <c r="IK44" s="27" t="n"/>
      <c r="IL44" s="27" t="n"/>
      <c r="IM44" s="27" t="n"/>
      <c r="IN44" s="27" t="n"/>
      <c r="IO44" s="27" t="n"/>
      <c r="IP44" s="27" t="n"/>
      <c r="IQ44" s="27" t="n"/>
      <c r="IR44" s="27" t="n"/>
      <c r="IS44" s="27" t="n"/>
      <c r="IT44" s="27" t="n"/>
      <c r="IU44" s="27" t="n"/>
      <c r="IV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  <c r="AA45" s="27" t="n"/>
      <c r="AB45" s="27" t="n"/>
      <c r="AC45" s="27" t="n"/>
      <c r="AD45" s="27" t="n"/>
      <c r="AE45" s="27" t="n"/>
      <c r="AF45" s="27" t="n"/>
      <c r="AG45" s="27" t="n"/>
      <c r="AH45" s="27" t="n"/>
      <c r="AI45" s="27" t="n"/>
      <c r="AJ45" s="27" t="n"/>
      <c r="AK45" s="27" t="n"/>
      <c r="AL45" s="27" t="n"/>
      <c r="AM45" s="27" t="n"/>
      <c r="AN45" s="27" t="n"/>
      <c r="AO45" s="27" t="n"/>
      <c r="AP45" s="27" t="n"/>
      <c r="AQ45" s="27" t="n"/>
      <c r="AR45" s="27" t="n"/>
      <c r="AS45" s="27" t="n"/>
      <c r="AT45" s="27" t="n"/>
      <c r="AU45" s="27" t="n"/>
      <c r="AV45" s="27" t="n"/>
      <c r="AW45" s="27" t="n"/>
      <c r="AX45" s="27" t="n"/>
      <c r="AY45" s="27" t="n"/>
      <c r="AZ45" s="27" t="n"/>
      <c r="BA45" s="27" t="n"/>
      <c r="BB45" s="27" t="n"/>
      <c r="BC45" s="27" t="n"/>
      <c r="BD45" s="27" t="n"/>
      <c r="BE45" s="27" t="n"/>
      <c r="BF45" s="27" t="n"/>
      <c r="BG45" s="27" t="n"/>
      <c r="BH45" s="27" t="n"/>
      <c r="BI45" s="27" t="n"/>
      <c r="BJ45" s="27" t="n"/>
      <c r="BK45" s="27" t="n"/>
      <c r="BL45" s="27" t="n"/>
      <c r="BM45" s="27" t="n"/>
      <c r="BN45" s="27" t="n"/>
      <c r="BO45" s="27" t="n"/>
      <c r="BP45" s="27" t="n"/>
      <c r="BQ45" s="27" t="n"/>
      <c r="BR45" s="27" t="n"/>
      <c r="BS45" s="27" t="n"/>
      <c r="BT45" s="27" t="n"/>
      <c r="BU45" s="27" t="n"/>
      <c r="BV45" s="27" t="n"/>
      <c r="BW45" s="27" t="n"/>
      <c r="BX45" s="27" t="n"/>
      <c r="BY45" s="27" t="n"/>
      <c r="BZ45" s="27" t="n"/>
      <c r="CA45" s="27" t="n"/>
      <c r="CB45" s="27" t="n"/>
      <c r="CC45" s="27" t="n"/>
      <c r="CD45" s="27" t="n"/>
      <c r="CE45" s="27" t="n"/>
      <c r="CF45" s="27" t="n"/>
      <c r="CG45" s="27" t="n"/>
      <c r="CH45" s="27" t="n"/>
      <c r="CI45" s="27" t="n"/>
      <c r="CJ45" s="27" t="n"/>
      <c r="CK45" s="27" t="n"/>
      <c r="CL45" s="27" t="n"/>
      <c r="CM45" s="27" t="n"/>
      <c r="CN45" s="27" t="n"/>
      <c r="CO45" s="27" t="n"/>
      <c r="CP45" s="27" t="n"/>
      <c r="CQ45" s="27" t="n"/>
      <c r="CR45" s="27" t="n"/>
      <c r="CS45" s="27" t="n"/>
      <c r="CT45" s="27" t="n"/>
      <c r="CU45" s="27" t="n"/>
      <c r="CV45" s="27" t="n"/>
      <c r="CW45" s="27" t="n"/>
      <c r="CX45" s="27" t="n"/>
      <c r="CY45" s="27" t="n"/>
      <c r="CZ45" s="27" t="n"/>
      <c r="DA45" s="27" t="n"/>
      <c r="DB45" s="27" t="n"/>
      <c r="DC45" s="27" t="n"/>
      <c r="DD45" s="27" t="n"/>
      <c r="DE45" s="27" t="n"/>
      <c r="DF45" s="27" t="n"/>
      <c r="DG45" s="27" t="n"/>
      <c r="DH45" s="27" t="n"/>
      <c r="DI45" s="27" t="n"/>
      <c r="DJ45" s="27" t="n"/>
      <c r="DK45" s="27" t="n"/>
      <c r="DL45" s="27" t="n"/>
      <c r="DM45" s="27" t="n"/>
      <c r="DN45" s="27" t="n"/>
      <c r="DO45" s="27" t="n"/>
      <c r="DP45" s="27" t="n"/>
      <c r="DQ45" s="27" t="n"/>
      <c r="DR45" s="27" t="n"/>
      <c r="DS45" s="27" t="n"/>
      <c r="DT45" s="27" t="n"/>
      <c r="DU45" s="27" t="n"/>
      <c r="DV45" s="27" t="n"/>
      <c r="DW45" s="27" t="n"/>
      <c r="DX45" s="27" t="n"/>
      <c r="DY45" s="27" t="n"/>
      <c r="DZ45" s="27" t="n"/>
      <c r="EA45" s="27" t="n"/>
      <c r="EB45" s="27" t="n"/>
      <c r="EC45" s="27" t="n"/>
      <c r="ED45" s="27" t="n"/>
      <c r="EE45" s="27" t="n"/>
      <c r="EF45" s="27" t="n"/>
      <c r="EG45" s="27" t="n"/>
      <c r="EH45" s="27" t="n"/>
      <c r="EI45" s="27" t="n"/>
      <c r="EJ45" s="27" t="n"/>
      <c r="EK45" s="27" t="n"/>
      <c r="EL45" s="27" t="n"/>
      <c r="EM45" s="27" t="n"/>
      <c r="EN45" s="27" t="n"/>
      <c r="EO45" s="27" t="n"/>
      <c r="EP45" s="27" t="n"/>
      <c r="EQ45" s="27" t="n"/>
      <c r="ER45" s="27" t="n"/>
      <c r="ES45" s="27" t="n"/>
      <c r="ET45" s="27" t="n"/>
      <c r="EU45" s="27" t="n"/>
      <c r="EV45" s="27" t="n"/>
      <c r="EW45" s="27" t="n"/>
      <c r="EX45" s="27" t="n"/>
      <c r="EY45" s="27" t="n"/>
      <c r="EZ45" s="27" t="n"/>
      <c r="FA45" s="27" t="n"/>
      <c r="FB45" s="27" t="n"/>
      <c r="FC45" s="27" t="n"/>
      <c r="FD45" s="27" t="n"/>
      <c r="FE45" s="27" t="n"/>
      <c r="FF45" s="27" t="n"/>
      <c r="FG45" s="27" t="n"/>
      <c r="FH45" s="27" t="n"/>
      <c r="FI45" s="27" t="n"/>
      <c r="FJ45" s="27" t="n"/>
      <c r="FK45" s="27" t="n"/>
      <c r="FL45" s="27" t="n"/>
      <c r="FM45" s="27" t="n"/>
      <c r="FN45" s="27" t="n"/>
      <c r="FO45" s="27" t="n"/>
      <c r="FP45" s="27" t="n"/>
      <c r="FQ45" s="27" t="n"/>
      <c r="FR45" s="27" t="n"/>
      <c r="FS45" s="27" t="n"/>
      <c r="FT45" s="27" t="n"/>
      <c r="FU45" s="27" t="n"/>
      <c r="FV45" s="27" t="n"/>
      <c r="FW45" s="27" t="n"/>
      <c r="FX45" s="27" t="n"/>
      <c r="FY45" s="27" t="n"/>
      <c r="FZ45" s="27" t="n"/>
      <c r="GA45" s="27" t="n"/>
      <c r="GB45" s="27" t="n"/>
      <c r="GC45" s="27" t="n"/>
      <c r="GD45" s="27" t="n"/>
      <c r="GE45" s="27" t="n"/>
      <c r="GF45" s="27" t="n"/>
      <c r="GG45" s="27" t="n"/>
      <c r="GH45" s="27" t="n"/>
      <c r="GI45" s="27" t="n"/>
      <c r="GJ45" s="27" t="n"/>
      <c r="GK45" s="27" t="n"/>
      <c r="GL45" s="27" t="n"/>
      <c r="GM45" s="27" t="n"/>
      <c r="GN45" s="27" t="n"/>
      <c r="GO45" s="27" t="n"/>
      <c r="GP45" s="27" t="n"/>
      <c r="GQ45" s="27" t="n"/>
      <c r="GR45" s="27" t="n"/>
      <c r="GS45" s="27" t="n"/>
      <c r="GT45" s="27" t="n"/>
      <c r="GU45" s="27" t="n"/>
      <c r="GV45" s="27" t="n"/>
      <c r="GW45" s="27" t="n"/>
      <c r="GX45" s="27" t="n"/>
      <c r="GY45" s="27" t="n"/>
      <c r="GZ45" s="27" t="n"/>
      <c r="HA45" s="27" t="n"/>
      <c r="HB45" s="27" t="n"/>
      <c r="HC45" s="27" t="n"/>
      <c r="HD45" s="27" t="n"/>
      <c r="HE45" s="27" t="n"/>
      <c r="HF45" s="27" t="n"/>
      <c r="HG45" s="27" t="n"/>
      <c r="HH45" s="27" t="n"/>
      <c r="HI45" s="27" t="n"/>
      <c r="HJ45" s="27" t="n"/>
      <c r="HK45" s="27" t="n"/>
      <c r="HL45" s="27" t="n"/>
      <c r="HM45" s="27" t="n"/>
      <c r="HN45" s="27" t="n"/>
      <c r="HO45" s="27" t="n"/>
      <c r="HP45" s="27" t="n"/>
      <c r="HQ45" s="27" t="n"/>
      <c r="HR45" s="27" t="n"/>
      <c r="HS45" s="27" t="n"/>
      <c r="HT45" s="27" t="n"/>
      <c r="HU45" s="27" t="n"/>
      <c r="HV45" s="27" t="n"/>
      <c r="HW45" s="27" t="n"/>
      <c r="HX45" s="27" t="n"/>
      <c r="HY45" s="27" t="n"/>
      <c r="HZ45" s="27" t="n"/>
      <c r="IA45" s="27" t="n"/>
      <c r="IB45" s="27" t="n"/>
      <c r="IC45" s="27" t="n"/>
      <c r="ID45" s="27" t="n"/>
      <c r="IE45" s="27" t="n"/>
      <c r="IF45" s="27" t="n"/>
      <c r="IG45" s="27" t="n"/>
      <c r="IH45" s="27" t="n"/>
      <c r="II45" s="27" t="n"/>
      <c r="IJ45" s="27" t="n"/>
      <c r="IK45" s="27" t="n"/>
      <c r="IL45" s="27" t="n"/>
      <c r="IM45" s="27" t="n"/>
      <c r="IN45" s="27" t="n"/>
      <c r="IO45" s="27" t="n"/>
      <c r="IP45" s="27" t="n"/>
      <c r="IQ45" s="27" t="n"/>
      <c r="IR45" s="27" t="n"/>
      <c r="IS45" s="27" t="n"/>
      <c r="IT45" s="27" t="n"/>
      <c r="IU45" s="27" t="n"/>
      <c r="IV45" s="27" t="n"/>
    </row>
    <row r="46" ht="20" customHeight="1" s="195" thickBot="1" thickTop="1">
      <c r="A46" s="65" t="inlineStr">
        <is>
          <t>SLAB ON GRADE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  <c r="G46" s="71" t="n"/>
      <c r="H46" s="71" t="n"/>
      <c r="I46" s="71" t="n"/>
      <c r="J46" s="71" t="n"/>
      <c r="K46" s="71" t="n"/>
      <c r="L46" s="71" t="n"/>
      <c r="M46" s="71" t="n"/>
      <c r="N46" s="71" t="n"/>
      <c r="O46" s="71" t="n"/>
      <c r="P46" s="71" t="n"/>
      <c r="Q46" s="71" t="n"/>
      <c r="R46" s="71" t="n"/>
      <c r="S46" s="71" t="n"/>
      <c r="T46" s="71" t="n"/>
      <c r="U46" s="71" t="n"/>
      <c r="V46" s="71" t="n"/>
      <c r="W46" s="71" t="n"/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1" t="n"/>
      <c r="AG46" s="71" t="n"/>
      <c r="AH46" s="71" t="n"/>
      <c r="AI46" s="71" t="n"/>
      <c r="AJ46" s="71" t="n"/>
      <c r="AK46" s="71" t="n"/>
      <c r="AL46" s="71" t="n"/>
      <c r="AM46" s="71" t="n"/>
      <c r="AN46" s="71" t="n"/>
      <c r="AO46" s="71" t="n"/>
      <c r="AP46" s="71" t="n"/>
      <c r="AQ46" s="71" t="n"/>
      <c r="AR46" s="71" t="n"/>
      <c r="AS46" s="71" t="n"/>
      <c r="AT46" s="71" t="n"/>
      <c r="AU46" s="71" t="n"/>
      <c r="AV46" s="71" t="n"/>
      <c r="AW46" s="71" t="n"/>
      <c r="AX46" s="71" t="n"/>
      <c r="AY46" s="71" t="n"/>
      <c r="AZ46" s="71" t="n"/>
      <c r="BA46" s="71" t="n"/>
      <c r="BB46" s="71" t="n"/>
      <c r="BC46" s="71" t="n"/>
      <c r="BD46" s="71" t="n"/>
      <c r="BE46" s="71" t="n"/>
      <c r="BF46" s="71" t="n"/>
      <c r="BG46" s="71" t="n"/>
      <c r="BH46" s="71" t="n"/>
      <c r="BI46" s="71" t="n"/>
      <c r="BJ46" s="71" t="n"/>
      <c r="BK46" s="71" t="n"/>
      <c r="BL46" s="71" t="n"/>
      <c r="BM46" s="71" t="n"/>
      <c r="BN46" s="71" t="n"/>
      <c r="BO46" s="71" t="n"/>
      <c r="BP46" s="71" t="n"/>
      <c r="BQ46" s="71" t="n"/>
      <c r="BR46" s="71" t="n"/>
      <c r="BS46" s="71" t="n"/>
      <c r="BT46" s="71" t="n"/>
      <c r="BU46" s="71" t="n"/>
      <c r="BV46" s="71" t="n"/>
      <c r="BW46" s="71" t="n"/>
      <c r="BX46" s="71" t="n"/>
      <c r="BY46" s="71" t="n"/>
      <c r="BZ46" s="71" t="n"/>
      <c r="CA46" s="71" t="n"/>
      <c r="CB46" s="71" t="n"/>
      <c r="CC46" s="71" t="n"/>
      <c r="CD46" s="71" t="n"/>
      <c r="CE46" s="71" t="n"/>
      <c r="CF46" s="71" t="n"/>
      <c r="CG46" s="71" t="n"/>
      <c r="CH46" s="71" t="n"/>
      <c r="CI46" s="71" t="n"/>
      <c r="CJ46" s="71" t="n"/>
      <c r="CK46" s="71" t="n"/>
      <c r="CL46" s="71" t="n"/>
      <c r="CM46" s="71" t="n"/>
      <c r="CN46" s="71" t="n"/>
      <c r="CO46" s="71" t="n"/>
      <c r="CP46" s="71" t="n"/>
      <c r="CQ46" s="71" t="n"/>
      <c r="CR46" s="71" t="n"/>
      <c r="CS46" s="71" t="n"/>
      <c r="CT46" s="71" t="n"/>
      <c r="CU46" s="71" t="n"/>
      <c r="CV46" s="71" t="n"/>
      <c r="CW46" s="71" t="n"/>
      <c r="CX46" s="71" t="n"/>
      <c r="CY46" s="71" t="n"/>
      <c r="CZ46" s="71" t="n"/>
      <c r="DA46" s="71" t="n"/>
      <c r="DB46" s="71" t="n"/>
      <c r="DC46" s="71" t="n"/>
      <c r="DD46" s="71" t="n"/>
      <c r="DE46" s="71" t="n"/>
      <c r="DF46" s="71" t="n"/>
      <c r="DG46" s="71" t="n"/>
      <c r="DH46" s="71" t="n"/>
      <c r="DI46" s="71" t="n"/>
      <c r="DJ46" s="71" t="n"/>
      <c r="DK46" s="71" t="n"/>
      <c r="DL46" s="71" t="n"/>
      <c r="DM46" s="71" t="n"/>
      <c r="DN46" s="71" t="n"/>
      <c r="DO46" s="71" t="n"/>
      <c r="DP46" s="71" t="n"/>
      <c r="DQ46" s="71" t="n"/>
      <c r="DR46" s="71" t="n"/>
      <c r="DS46" s="71" t="n"/>
      <c r="DT46" s="71" t="n"/>
      <c r="DU46" s="71" t="n"/>
      <c r="DV46" s="71" t="n"/>
      <c r="DW46" s="71" t="n"/>
      <c r="DX46" s="71" t="n"/>
      <c r="DY46" s="71" t="n"/>
      <c r="DZ46" s="71" t="n"/>
      <c r="EA46" s="71" t="n"/>
      <c r="EB46" s="71" t="n"/>
      <c r="EC46" s="71" t="n"/>
      <c r="ED46" s="71" t="n"/>
      <c r="EE46" s="71" t="n"/>
      <c r="EF46" s="71" t="n"/>
      <c r="EG46" s="71" t="n"/>
      <c r="EH46" s="71" t="n"/>
      <c r="EI46" s="71" t="n"/>
      <c r="EJ46" s="71" t="n"/>
      <c r="EK46" s="71" t="n"/>
      <c r="EL46" s="71" t="n"/>
      <c r="EM46" s="71" t="n"/>
      <c r="EN46" s="71" t="n"/>
      <c r="EO46" s="71" t="n"/>
      <c r="EP46" s="71" t="n"/>
      <c r="EQ46" s="71" t="n"/>
      <c r="ER46" s="71" t="n"/>
      <c r="ES46" s="71" t="n"/>
      <c r="ET46" s="71" t="n"/>
      <c r="EU46" s="71" t="n"/>
      <c r="EV46" s="71" t="n"/>
      <c r="EW46" s="71" t="n"/>
      <c r="EX46" s="71" t="n"/>
      <c r="EY46" s="71" t="n"/>
      <c r="EZ46" s="71" t="n"/>
      <c r="FA46" s="71" t="n"/>
      <c r="FB46" s="71" t="n"/>
      <c r="FC46" s="71" t="n"/>
      <c r="FD46" s="71" t="n"/>
      <c r="FE46" s="71" t="n"/>
      <c r="FF46" s="71" t="n"/>
      <c r="FG46" s="71" t="n"/>
      <c r="FH46" s="71" t="n"/>
      <c r="FI46" s="71" t="n"/>
      <c r="FJ46" s="71" t="n"/>
      <c r="FK46" s="71" t="n"/>
      <c r="FL46" s="71" t="n"/>
      <c r="FM46" s="71" t="n"/>
      <c r="FN46" s="71" t="n"/>
      <c r="FO46" s="71" t="n"/>
      <c r="FP46" s="71" t="n"/>
      <c r="FQ46" s="71" t="n"/>
      <c r="FR46" s="71" t="n"/>
      <c r="FS46" s="71" t="n"/>
      <c r="FT46" s="71" t="n"/>
      <c r="FU46" s="71" t="n"/>
      <c r="FV46" s="71" t="n"/>
      <c r="FW46" s="71" t="n"/>
      <c r="FX46" s="71" t="n"/>
      <c r="FY46" s="71" t="n"/>
      <c r="FZ46" s="71" t="n"/>
      <c r="GA46" s="71" t="n"/>
      <c r="GB46" s="71" t="n"/>
      <c r="GC46" s="71" t="n"/>
      <c r="GD46" s="71" t="n"/>
      <c r="GE46" s="71" t="n"/>
      <c r="GF46" s="71" t="n"/>
      <c r="GG46" s="71" t="n"/>
      <c r="GH46" s="71" t="n"/>
      <c r="GI46" s="71" t="n"/>
      <c r="GJ46" s="71" t="n"/>
      <c r="GK46" s="71" t="n"/>
      <c r="GL46" s="71" t="n"/>
      <c r="GM46" s="71" t="n"/>
      <c r="GN46" s="71" t="n"/>
      <c r="GO46" s="71" t="n"/>
      <c r="GP46" s="71" t="n"/>
      <c r="GQ46" s="71" t="n"/>
      <c r="GR46" s="71" t="n"/>
      <c r="GS46" s="71" t="n"/>
      <c r="GT46" s="71" t="n"/>
      <c r="GU46" s="71" t="n"/>
      <c r="GV46" s="71" t="n"/>
      <c r="GW46" s="71" t="n"/>
      <c r="GX46" s="71" t="n"/>
      <c r="GY46" s="71" t="n"/>
      <c r="GZ46" s="71" t="n"/>
      <c r="HA46" s="71" t="n"/>
      <c r="HB46" s="71" t="n"/>
      <c r="HC46" s="71" t="n"/>
      <c r="HD46" s="71" t="n"/>
      <c r="HE46" s="71" t="n"/>
      <c r="HF46" s="71" t="n"/>
      <c r="HG46" s="71" t="n"/>
      <c r="HH46" s="71" t="n"/>
      <c r="HI46" s="71" t="n"/>
      <c r="HJ46" s="71" t="n"/>
      <c r="HK46" s="71" t="n"/>
      <c r="HL46" s="71" t="n"/>
      <c r="HM46" s="71" t="n"/>
      <c r="HN46" s="71" t="n"/>
      <c r="HO46" s="71" t="n"/>
      <c r="HP46" s="71" t="n"/>
      <c r="HQ46" s="71" t="n"/>
      <c r="HR46" s="71" t="n"/>
      <c r="HS46" s="71" t="n"/>
      <c r="HT46" s="71" t="n"/>
      <c r="HU46" s="71" t="n"/>
      <c r="HV46" s="71" t="n"/>
      <c r="HW46" s="71" t="n"/>
      <c r="HX46" s="71" t="n"/>
      <c r="HY46" s="71" t="n"/>
      <c r="HZ46" s="71" t="n"/>
      <c r="IA46" s="71" t="n"/>
      <c r="IB46" s="71" t="n"/>
      <c r="IC46" s="71" t="n"/>
      <c r="ID46" s="71" t="n"/>
      <c r="IE46" s="71" t="n"/>
      <c r="IF46" s="71" t="n"/>
      <c r="IG46" s="71" t="n"/>
      <c r="IH46" s="71" t="n"/>
      <c r="II46" s="71" t="n"/>
      <c r="IJ46" s="71" t="n"/>
      <c r="IK46" s="71" t="n"/>
      <c r="IL46" s="71" t="n"/>
      <c r="IM46" s="71" t="n"/>
      <c r="IN46" s="71" t="n"/>
      <c r="IO46" s="71" t="n"/>
      <c r="IP46" s="71" t="n"/>
      <c r="IQ46" s="71" t="n"/>
      <c r="IR46" s="71" t="n"/>
      <c r="IS46" s="71" t="n"/>
      <c r="IT46" s="71" t="n"/>
      <c r="IU46" s="71" t="n"/>
      <c r="IV46" s="71" t="n"/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  <c r="G47" s="71" t="n"/>
      <c r="H47" s="71" t="n"/>
      <c r="I47" s="71" t="n"/>
      <c r="J47" s="71" t="n"/>
      <c r="K47" s="71" t="n"/>
      <c r="L47" s="71" t="n"/>
      <c r="M47" s="71" t="n"/>
      <c r="N47" s="71" t="n"/>
      <c r="O47" s="71" t="n"/>
      <c r="P47" s="71" t="n"/>
      <c r="Q47" s="71" t="n"/>
      <c r="R47" s="71" t="n"/>
      <c r="S47" s="71" t="n"/>
      <c r="T47" s="71" t="n"/>
      <c r="U47" s="71" t="n"/>
      <c r="V47" s="71" t="n"/>
      <c r="W47" s="71" t="n"/>
      <c r="X47" s="71" t="n"/>
      <c r="Y47" s="71" t="n"/>
      <c r="Z47" s="71" t="n"/>
      <c r="AA47" s="71" t="n"/>
      <c r="AB47" s="71" t="n"/>
      <c r="AC47" s="71" t="n"/>
      <c r="AD47" s="71" t="n"/>
      <c r="AE47" s="71" t="n"/>
      <c r="AF47" s="71" t="n"/>
      <c r="AG47" s="71" t="n"/>
      <c r="AH47" s="71" t="n"/>
      <c r="AI47" s="71" t="n"/>
      <c r="AJ47" s="71" t="n"/>
      <c r="AK47" s="71" t="n"/>
      <c r="AL47" s="71" t="n"/>
      <c r="AM47" s="71" t="n"/>
      <c r="AN47" s="71" t="n"/>
      <c r="AO47" s="71" t="n"/>
      <c r="AP47" s="71" t="n"/>
      <c r="AQ47" s="71" t="n"/>
      <c r="AR47" s="71" t="n"/>
      <c r="AS47" s="71" t="n"/>
      <c r="AT47" s="71" t="n"/>
      <c r="AU47" s="71" t="n"/>
      <c r="AV47" s="71" t="n"/>
      <c r="AW47" s="71" t="n"/>
      <c r="AX47" s="71" t="n"/>
      <c r="AY47" s="71" t="n"/>
      <c r="AZ47" s="71" t="n"/>
      <c r="BA47" s="71" t="n"/>
      <c r="BB47" s="71" t="n"/>
      <c r="BC47" s="71" t="n"/>
      <c r="BD47" s="71" t="n"/>
      <c r="BE47" s="71" t="n"/>
      <c r="BF47" s="71" t="n"/>
      <c r="BG47" s="71" t="n"/>
      <c r="BH47" s="71" t="n"/>
      <c r="BI47" s="71" t="n"/>
      <c r="BJ47" s="71" t="n"/>
      <c r="BK47" s="71" t="n"/>
      <c r="BL47" s="71" t="n"/>
      <c r="BM47" s="71" t="n"/>
      <c r="BN47" s="71" t="n"/>
      <c r="BO47" s="71" t="n"/>
      <c r="BP47" s="71" t="n"/>
      <c r="BQ47" s="71" t="n"/>
      <c r="BR47" s="71" t="n"/>
      <c r="BS47" s="71" t="n"/>
      <c r="BT47" s="71" t="n"/>
      <c r="BU47" s="71" t="n"/>
      <c r="BV47" s="71" t="n"/>
      <c r="BW47" s="71" t="n"/>
      <c r="BX47" s="71" t="n"/>
      <c r="BY47" s="71" t="n"/>
      <c r="BZ47" s="71" t="n"/>
      <c r="CA47" s="71" t="n"/>
      <c r="CB47" s="71" t="n"/>
      <c r="CC47" s="71" t="n"/>
      <c r="CD47" s="71" t="n"/>
      <c r="CE47" s="71" t="n"/>
      <c r="CF47" s="71" t="n"/>
      <c r="CG47" s="71" t="n"/>
      <c r="CH47" s="71" t="n"/>
      <c r="CI47" s="71" t="n"/>
      <c r="CJ47" s="71" t="n"/>
      <c r="CK47" s="71" t="n"/>
      <c r="CL47" s="71" t="n"/>
      <c r="CM47" s="71" t="n"/>
      <c r="CN47" s="71" t="n"/>
      <c r="CO47" s="71" t="n"/>
      <c r="CP47" s="71" t="n"/>
      <c r="CQ47" s="71" t="n"/>
      <c r="CR47" s="71" t="n"/>
      <c r="CS47" s="71" t="n"/>
      <c r="CT47" s="71" t="n"/>
      <c r="CU47" s="71" t="n"/>
      <c r="CV47" s="71" t="n"/>
      <c r="CW47" s="71" t="n"/>
      <c r="CX47" s="71" t="n"/>
      <c r="CY47" s="71" t="n"/>
      <c r="CZ47" s="71" t="n"/>
      <c r="DA47" s="71" t="n"/>
      <c r="DB47" s="71" t="n"/>
      <c r="DC47" s="71" t="n"/>
      <c r="DD47" s="71" t="n"/>
      <c r="DE47" s="71" t="n"/>
      <c r="DF47" s="71" t="n"/>
      <c r="DG47" s="71" t="n"/>
      <c r="DH47" s="71" t="n"/>
      <c r="DI47" s="71" t="n"/>
      <c r="DJ47" s="71" t="n"/>
      <c r="DK47" s="71" t="n"/>
      <c r="DL47" s="71" t="n"/>
      <c r="DM47" s="71" t="n"/>
      <c r="DN47" s="71" t="n"/>
      <c r="DO47" s="71" t="n"/>
      <c r="DP47" s="71" t="n"/>
      <c r="DQ47" s="71" t="n"/>
      <c r="DR47" s="71" t="n"/>
      <c r="DS47" s="71" t="n"/>
      <c r="DT47" s="71" t="n"/>
      <c r="DU47" s="71" t="n"/>
      <c r="DV47" s="71" t="n"/>
      <c r="DW47" s="71" t="n"/>
      <c r="DX47" s="71" t="n"/>
      <c r="DY47" s="71" t="n"/>
      <c r="DZ47" s="71" t="n"/>
      <c r="EA47" s="71" t="n"/>
      <c r="EB47" s="71" t="n"/>
      <c r="EC47" s="71" t="n"/>
      <c r="ED47" s="71" t="n"/>
      <c r="EE47" s="71" t="n"/>
      <c r="EF47" s="71" t="n"/>
      <c r="EG47" s="71" t="n"/>
      <c r="EH47" s="71" t="n"/>
      <c r="EI47" s="71" t="n"/>
      <c r="EJ47" s="71" t="n"/>
      <c r="EK47" s="71" t="n"/>
      <c r="EL47" s="71" t="n"/>
      <c r="EM47" s="71" t="n"/>
      <c r="EN47" s="71" t="n"/>
      <c r="EO47" s="71" t="n"/>
      <c r="EP47" s="71" t="n"/>
      <c r="EQ47" s="71" t="n"/>
      <c r="ER47" s="71" t="n"/>
      <c r="ES47" s="71" t="n"/>
      <c r="ET47" s="71" t="n"/>
      <c r="EU47" s="71" t="n"/>
      <c r="EV47" s="71" t="n"/>
      <c r="EW47" s="71" t="n"/>
      <c r="EX47" s="71" t="n"/>
      <c r="EY47" s="71" t="n"/>
      <c r="EZ47" s="71" t="n"/>
      <c r="FA47" s="71" t="n"/>
      <c r="FB47" s="71" t="n"/>
      <c r="FC47" s="71" t="n"/>
      <c r="FD47" s="71" t="n"/>
      <c r="FE47" s="71" t="n"/>
      <c r="FF47" s="71" t="n"/>
      <c r="FG47" s="71" t="n"/>
      <c r="FH47" s="71" t="n"/>
      <c r="FI47" s="71" t="n"/>
      <c r="FJ47" s="71" t="n"/>
      <c r="FK47" s="71" t="n"/>
      <c r="FL47" s="71" t="n"/>
      <c r="FM47" s="71" t="n"/>
      <c r="FN47" s="71" t="n"/>
      <c r="FO47" s="71" t="n"/>
      <c r="FP47" s="71" t="n"/>
      <c r="FQ47" s="71" t="n"/>
      <c r="FR47" s="71" t="n"/>
      <c r="FS47" s="71" t="n"/>
      <c r="FT47" s="71" t="n"/>
      <c r="FU47" s="71" t="n"/>
      <c r="FV47" s="71" t="n"/>
      <c r="FW47" s="71" t="n"/>
      <c r="FX47" s="71" t="n"/>
      <c r="FY47" s="71" t="n"/>
      <c r="FZ47" s="71" t="n"/>
      <c r="GA47" s="71" t="n"/>
      <c r="GB47" s="71" t="n"/>
      <c r="GC47" s="71" t="n"/>
      <c r="GD47" s="71" t="n"/>
      <c r="GE47" s="71" t="n"/>
      <c r="GF47" s="71" t="n"/>
      <c r="GG47" s="71" t="n"/>
      <c r="GH47" s="71" t="n"/>
      <c r="GI47" s="71" t="n"/>
      <c r="GJ47" s="71" t="n"/>
      <c r="GK47" s="71" t="n"/>
      <c r="GL47" s="71" t="n"/>
      <c r="GM47" s="71" t="n"/>
      <c r="GN47" s="71" t="n"/>
      <c r="GO47" s="71" t="n"/>
      <c r="GP47" s="71" t="n"/>
      <c r="GQ47" s="71" t="n"/>
      <c r="GR47" s="71" t="n"/>
      <c r="GS47" s="71" t="n"/>
      <c r="GT47" s="71" t="n"/>
      <c r="GU47" s="71" t="n"/>
      <c r="GV47" s="71" t="n"/>
      <c r="GW47" s="71" t="n"/>
      <c r="GX47" s="71" t="n"/>
      <c r="GY47" s="71" t="n"/>
      <c r="GZ47" s="71" t="n"/>
      <c r="HA47" s="71" t="n"/>
      <c r="HB47" s="71" t="n"/>
      <c r="HC47" s="71" t="n"/>
      <c r="HD47" s="71" t="n"/>
      <c r="HE47" s="71" t="n"/>
      <c r="HF47" s="71" t="n"/>
      <c r="HG47" s="71" t="n"/>
      <c r="HH47" s="71" t="n"/>
      <c r="HI47" s="71" t="n"/>
      <c r="HJ47" s="71" t="n"/>
      <c r="HK47" s="71" t="n"/>
      <c r="HL47" s="71" t="n"/>
      <c r="HM47" s="71" t="n"/>
      <c r="HN47" s="71" t="n"/>
      <c r="HO47" s="71" t="n"/>
      <c r="HP47" s="71" t="n"/>
      <c r="HQ47" s="71" t="n"/>
      <c r="HR47" s="71" t="n"/>
      <c r="HS47" s="71" t="n"/>
      <c r="HT47" s="71" t="n"/>
      <c r="HU47" s="71" t="n"/>
      <c r="HV47" s="71" t="n"/>
      <c r="HW47" s="71" t="n"/>
      <c r="HX47" s="71" t="n"/>
      <c r="HY47" s="71" t="n"/>
      <c r="HZ47" s="71" t="n"/>
      <c r="IA47" s="71" t="n"/>
      <c r="IB47" s="71" t="n"/>
      <c r="IC47" s="71" t="n"/>
      <c r="ID47" s="71" t="n"/>
      <c r="IE47" s="71" t="n"/>
      <c r="IF47" s="71" t="n"/>
      <c r="IG47" s="71" t="n"/>
      <c r="IH47" s="71" t="n"/>
      <c r="II47" s="71" t="n"/>
      <c r="IJ47" s="71" t="n"/>
      <c r="IK47" s="71" t="n"/>
      <c r="IL47" s="71" t="n"/>
      <c r="IM47" s="71" t="n"/>
      <c r="IN47" s="71" t="n"/>
      <c r="IO47" s="71" t="n"/>
      <c r="IP47" s="71" t="n"/>
      <c r="IQ47" s="71" t="n"/>
      <c r="IR47" s="71" t="n"/>
      <c r="IS47" s="71" t="n"/>
      <c r="IT47" s="71" t="n"/>
      <c r="IU47" s="71" t="n"/>
      <c r="IV47" s="71" t="n"/>
    </row>
    <row r="48" ht="20" customHeight="1" s="195" thickBot="1" thickTop="1">
      <c r="A48" s="65" t="inlineStr">
        <is>
          <t>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  <c r="G48" s="71" t="n"/>
      <c r="H48" s="71" t="n"/>
      <c r="I48" s="71" t="n"/>
      <c r="J48" s="71" t="n"/>
      <c r="K48" s="71" t="n"/>
      <c r="L48" s="71" t="n"/>
      <c r="M48" s="71" t="n"/>
      <c r="N48" s="71" t="n"/>
      <c r="O48" s="71" t="n"/>
      <c r="P48" s="71" t="n"/>
      <c r="Q48" s="71" t="n"/>
      <c r="R48" s="71" t="n"/>
      <c r="S48" s="71" t="n"/>
      <c r="T48" s="71" t="n"/>
      <c r="U48" s="71" t="n"/>
      <c r="V48" s="71" t="n"/>
      <c r="W48" s="71" t="n"/>
      <c r="X48" s="71" t="n"/>
      <c r="Y48" s="71" t="n"/>
      <c r="Z48" s="71" t="n"/>
      <c r="AA48" s="71" t="n"/>
      <c r="AB48" s="71" t="n"/>
      <c r="AC48" s="71" t="n"/>
      <c r="AD48" s="71" t="n"/>
      <c r="AE48" s="71" t="n"/>
      <c r="AF48" s="71" t="n"/>
      <c r="AG48" s="71" t="n"/>
      <c r="AH48" s="71" t="n"/>
      <c r="AI48" s="71" t="n"/>
      <c r="AJ48" s="71" t="n"/>
      <c r="AK48" s="71" t="n"/>
      <c r="AL48" s="71" t="n"/>
      <c r="AM48" s="71" t="n"/>
      <c r="AN48" s="71" t="n"/>
      <c r="AO48" s="71" t="n"/>
      <c r="AP48" s="71" t="n"/>
      <c r="AQ48" s="71" t="n"/>
      <c r="AR48" s="71" t="n"/>
      <c r="AS48" s="71" t="n"/>
      <c r="AT48" s="71" t="n"/>
      <c r="AU48" s="71" t="n"/>
      <c r="AV48" s="71" t="n"/>
      <c r="AW48" s="71" t="n"/>
      <c r="AX48" s="71" t="n"/>
      <c r="AY48" s="71" t="n"/>
      <c r="AZ48" s="71" t="n"/>
      <c r="BA48" s="71" t="n"/>
      <c r="BB48" s="71" t="n"/>
      <c r="BC48" s="71" t="n"/>
      <c r="BD48" s="71" t="n"/>
      <c r="BE48" s="71" t="n"/>
      <c r="BF48" s="71" t="n"/>
      <c r="BG48" s="71" t="n"/>
      <c r="BH48" s="71" t="n"/>
      <c r="BI48" s="71" t="n"/>
      <c r="BJ48" s="71" t="n"/>
      <c r="BK48" s="71" t="n"/>
      <c r="BL48" s="71" t="n"/>
      <c r="BM48" s="71" t="n"/>
      <c r="BN48" s="71" t="n"/>
      <c r="BO48" s="71" t="n"/>
      <c r="BP48" s="71" t="n"/>
      <c r="BQ48" s="71" t="n"/>
      <c r="BR48" s="71" t="n"/>
      <c r="BS48" s="71" t="n"/>
      <c r="BT48" s="71" t="n"/>
      <c r="BU48" s="71" t="n"/>
      <c r="BV48" s="71" t="n"/>
      <c r="BW48" s="71" t="n"/>
      <c r="BX48" s="71" t="n"/>
      <c r="BY48" s="71" t="n"/>
      <c r="BZ48" s="71" t="n"/>
      <c r="CA48" s="71" t="n"/>
      <c r="CB48" s="71" t="n"/>
      <c r="CC48" s="71" t="n"/>
      <c r="CD48" s="71" t="n"/>
      <c r="CE48" s="71" t="n"/>
      <c r="CF48" s="71" t="n"/>
      <c r="CG48" s="71" t="n"/>
      <c r="CH48" s="71" t="n"/>
      <c r="CI48" s="71" t="n"/>
      <c r="CJ48" s="71" t="n"/>
      <c r="CK48" s="71" t="n"/>
      <c r="CL48" s="71" t="n"/>
      <c r="CM48" s="71" t="n"/>
      <c r="CN48" s="71" t="n"/>
      <c r="CO48" s="71" t="n"/>
      <c r="CP48" s="71" t="n"/>
      <c r="CQ48" s="71" t="n"/>
      <c r="CR48" s="71" t="n"/>
      <c r="CS48" s="71" t="n"/>
      <c r="CT48" s="71" t="n"/>
      <c r="CU48" s="71" t="n"/>
      <c r="CV48" s="71" t="n"/>
      <c r="CW48" s="71" t="n"/>
      <c r="CX48" s="71" t="n"/>
      <c r="CY48" s="71" t="n"/>
      <c r="CZ48" s="71" t="n"/>
      <c r="DA48" s="71" t="n"/>
      <c r="DB48" s="71" t="n"/>
      <c r="DC48" s="71" t="n"/>
      <c r="DD48" s="71" t="n"/>
      <c r="DE48" s="71" t="n"/>
      <c r="DF48" s="71" t="n"/>
      <c r="DG48" s="71" t="n"/>
      <c r="DH48" s="71" t="n"/>
      <c r="DI48" s="71" t="n"/>
      <c r="DJ48" s="71" t="n"/>
      <c r="DK48" s="71" t="n"/>
      <c r="DL48" s="71" t="n"/>
      <c r="DM48" s="71" t="n"/>
      <c r="DN48" s="71" t="n"/>
      <c r="DO48" s="71" t="n"/>
      <c r="DP48" s="71" t="n"/>
      <c r="DQ48" s="71" t="n"/>
      <c r="DR48" s="71" t="n"/>
      <c r="DS48" s="71" t="n"/>
      <c r="DT48" s="71" t="n"/>
      <c r="DU48" s="71" t="n"/>
      <c r="DV48" s="71" t="n"/>
      <c r="DW48" s="71" t="n"/>
      <c r="DX48" s="71" t="n"/>
      <c r="DY48" s="71" t="n"/>
      <c r="DZ48" s="71" t="n"/>
      <c r="EA48" s="71" t="n"/>
      <c r="EB48" s="71" t="n"/>
      <c r="EC48" s="71" t="n"/>
      <c r="ED48" s="71" t="n"/>
      <c r="EE48" s="71" t="n"/>
      <c r="EF48" s="71" t="n"/>
      <c r="EG48" s="71" t="n"/>
      <c r="EH48" s="71" t="n"/>
      <c r="EI48" s="71" t="n"/>
      <c r="EJ48" s="71" t="n"/>
      <c r="EK48" s="71" t="n"/>
      <c r="EL48" s="71" t="n"/>
      <c r="EM48" s="71" t="n"/>
      <c r="EN48" s="71" t="n"/>
      <c r="EO48" s="71" t="n"/>
      <c r="EP48" s="71" t="n"/>
      <c r="EQ48" s="71" t="n"/>
      <c r="ER48" s="71" t="n"/>
      <c r="ES48" s="71" t="n"/>
      <c r="ET48" s="71" t="n"/>
      <c r="EU48" s="71" t="n"/>
      <c r="EV48" s="71" t="n"/>
      <c r="EW48" s="71" t="n"/>
      <c r="EX48" s="71" t="n"/>
      <c r="EY48" s="71" t="n"/>
      <c r="EZ48" s="71" t="n"/>
      <c r="FA48" s="71" t="n"/>
      <c r="FB48" s="71" t="n"/>
      <c r="FC48" s="71" t="n"/>
      <c r="FD48" s="71" t="n"/>
      <c r="FE48" s="71" t="n"/>
      <c r="FF48" s="71" t="n"/>
      <c r="FG48" s="71" t="n"/>
      <c r="FH48" s="71" t="n"/>
      <c r="FI48" s="71" t="n"/>
      <c r="FJ48" s="71" t="n"/>
      <c r="FK48" s="71" t="n"/>
      <c r="FL48" s="71" t="n"/>
      <c r="FM48" s="71" t="n"/>
      <c r="FN48" s="71" t="n"/>
      <c r="FO48" s="71" t="n"/>
      <c r="FP48" s="71" t="n"/>
      <c r="FQ48" s="71" t="n"/>
      <c r="FR48" s="71" t="n"/>
      <c r="FS48" s="71" t="n"/>
      <c r="FT48" s="71" t="n"/>
      <c r="FU48" s="71" t="n"/>
      <c r="FV48" s="71" t="n"/>
      <c r="FW48" s="71" t="n"/>
      <c r="FX48" s="71" t="n"/>
      <c r="FY48" s="71" t="n"/>
      <c r="FZ48" s="71" t="n"/>
      <c r="GA48" s="71" t="n"/>
      <c r="GB48" s="71" t="n"/>
      <c r="GC48" s="71" t="n"/>
      <c r="GD48" s="71" t="n"/>
      <c r="GE48" s="71" t="n"/>
      <c r="GF48" s="71" t="n"/>
      <c r="GG48" s="71" t="n"/>
      <c r="GH48" s="71" t="n"/>
      <c r="GI48" s="71" t="n"/>
      <c r="GJ48" s="71" t="n"/>
      <c r="GK48" s="71" t="n"/>
      <c r="GL48" s="71" t="n"/>
      <c r="GM48" s="71" t="n"/>
      <c r="GN48" s="71" t="n"/>
      <c r="GO48" s="71" t="n"/>
      <c r="GP48" s="71" t="n"/>
      <c r="GQ48" s="71" t="n"/>
      <c r="GR48" s="71" t="n"/>
      <c r="GS48" s="71" t="n"/>
      <c r="GT48" s="71" t="n"/>
      <c r="GU48" s="71" t="n"/>
      <c r="GV48" s="71" t="n"/>
      <c r="GW48" s="71" t="n"/>
      <c r="GX48" s="71" t="n"/>
      <c r="GY48" s="71" t="n"/>
      <c r="GZ48" s="71" t="n"/>
      <c r="HA48" s="71" t="n"/>
      <c r="HB48" s="71" t="n"/>
      <c r="HC48" s="71" t="n"/>
      <c r="HD48" s="71" t="n"/>
      <c r="HE48" s="71" t="n"/>
      <c r="HF48" s="71" t="n"/>
      <c r="HG48" s="71" t="n"/>
      <c r="HH48" s="71" t="n"/>
      <c r="HI48" s="71" t="n"/>
      <c r="HJ48" s="71" t="n"/>
      <c r="HK48" s="71" t="n"/>
      <c r="HL48" s="71" t="n"/>
      <c r="HM48" s="71" t="n"/>
      <c r="HN48" s="71" t="n"/>
      <c r="HO48" s="71" t="n"/>
      <c r="HP48" s="71" t="n"/>
      <c r="HQ48" s="71" t="n"/>
      <c r="HR48" s="71" t="n"/>
      <c r="HS48" s="71" t="n"/>
      <c r="HT48" s="71" t="n"/>
      <c r="HU48" s="71" t="n"/>
      <c r="HV48" s="71" t="n"/>
      <c r="HW48" s="71" t="n"/>
      <c r="HX48" s="71" t="n"/>
      <c r="HY48" s="71" t="n"/>
      <c r="HZ48" s="71" t="n"/>
      <c r="IA48" s="71" t="n"/>
      <c r="IB48" s="71" t="n"/>
      <c r="IC48" s="71" t="n"/>
      <c r="ID48" s="71" t="n"/>
      <c r="IE48" s="71" t="n"/>
      <c r="IF48" s="71" t="n"/>
      <c r="IG48" s="71" t="n"/>
      <c r="IH48" s="71" t="n"/>
      <c r="II48" s="71" t="n"/>
      <c r="IJ48" s="71" t="n"/>
      <c r="IK48" s="71" t="n"/>
      <c r="IL48" s="71" t="n"/>
      <c r="IM48" s="71" t="n"/>
      <c r="IN48" s="71" t="n"/>
      <c r="IO48" s="71" t="n"/>
      <c r="IP48" s="71" t="n"/>
      <c r="IQ48" s="71" t="n"/>
      <c r="IR48" s="71" t="n"/>
      <c r="IS48" s="71" t="n"/>
      <c r="IT48" s="71" t="n"/>
      <c r="IU48" s="71" t="n"/>
      <c r="IV48" s="71" t="n"/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  <c r="G49" s="71" t="n"/>
      <c r="H49" s="71" t="n"/>
      <c r="I49" s="71" t="n"/>
      <c r="J49" s="71" t="n"/>
      <c r="K49" s="71" t="n"/>
      <c r="L49" s="71" t="n"/>
      <c r="M49" s="71" t="n"/>
      <c r="N49" s="71" t="n"/>
      <c r="O49" s="71" t="n"/>
      <c r="P49" s="71" t="n"/>
      <c r="Q49" s="71" t="n"/>
      <c r="R49" s="71" t="n"/>
      <c r="S49" s="71" t="n"/>
      <c r="T49" s="71" t="n"/>
      <c r="U49" s="71" t="n"/>
      <c r="V49" s="71" t="n"/>
      <c r="W49" s="71" t="n"/>
      <c r="X49" s="71" t="n"/>
      <c r="Y49" s="71" t="n"/>
      <c r="Z49" s="71" t="n"/>
      <c r="AA49" s="71" t="n"/>
      <c r="AB49" s="71" t="n"/>
      <c r="AC49" s="71" t="n"/>
      <c r="AD49" s="71" t="n"/>
      <c r="AE49" s="71" t="n"/>
      <c r="AF49" s="71" t="n"/>
      <c r="AG49" s="71" t="n"/>
      <c r="AH49" s="71" t="n"/>
      <c r="AI49" s="71" t="n"/>
      <c r="AJ49" s="71" t="n"/>
      <c r="AK49" s="71" t="n"/>
      <c r="AL49" s="71" t="n"/>
      <c r="AM49" s="71" t="n"/>
      <c r="AN49" s="71" t="n"/>
      <c r="AO49" s="71" t="n"/>
      <c r="AP49" s="71" t="n"/>
      <c r="AQ49" s="71" t="n"/>
      <c r="AR49" s="71" t="n"/>
      <c r="AS49" s="71" t="n"/>
      <c r="AT49" s="71" t="n"/>
      <c r="AU49" s="71" t="n"/>
      <c r="AV49" s="71" t="n"/>
      <c r="AW49" s="71" t="n"/>
      <c r="AX49" s="71" t="n"/>
      <c r="AY49" s="71" t="n"/>
      <c r="AZ49" s="71" t="n"/>
      <c r="BA49" s="71" t="n"/>
      <c r="BB49" s="71" t="n"/>
      <c r="BC49" s="71" t="n"/>
      <c r="BD49" s="71" t="n"/>
      <c r="BE49" s="71" t="n"/>
      <c r="BF49" s="71" t="n"/>
      <c r="BG49" s="71" t="n"/>
      <c r="BH49" s="71" t="n"/>
      <c r="BI49" s="71" t="n"/>
      <c r="BJ49" s="71" t="n"/>
      <c r="BK49" s="71" t="n"/>
      <c r="BL49" s="71" t="n"/>
      <c r="BM49" s="71" t="n"/>
      <c r="BN49" s="71" t="n"/>
      <c r="BO49" s="71" t="n"/>
      <c r="BP49" s="71" t="n"/>
      <c r="BQ49" s="71" t="n"/>
      <c r="BR49" s="71" t="n"/>
      <c r="BS49" s="71" t="n"/>
      <c r="BT49" s="71" t="n"/>
      <c r="BU49" s="71" t="n"/>
      <c r="BV49" s="71" t="n"/>
      <c r="BW49" s="71" t="n"/>
      <c r="BX49" s="71" t="n"/>
      <c r="BY49" s="71" t="n"/>
      <c r="BZ49" s="71" t="n"/>
      <c r="CA49" s="71" t="n"/>
      <c r="CB49" s="71" t="n"/>
      <c r="CC49" s="71" t="n"/>
      <c r="CD49" s="71" t="n"/>
      <c r="CE49" s="71" t="n"/>
      <c r="CF49" s="71" t="n"/>
      <c r="CG49" s="71" t="n"/>
      <c r="CH49" s="71" t="n"/>
      <c r="CI49" s="71" t="n"/>
      <c r="CJ49" s="71" t="n"/>
      <c r="CK49" s="71" t="n"/>
      <c r="CL49" s="71" t="n"/>
      <c r="CM49" s="71" t="n"/>
      <c r="CN49" s="71" t="n"/>
      <c r="CO49" s="71" t="n"/>
      <c r="CP49" s="71" t="n"/>
      <c r="CQ49" s="71" t="n"/>
      <c r="CR49" s="71" t="n"/>
      <c r="CS49" s="71" t="n"/>
      <c r="CT49" s="71" t="n"/>
      <c r="CU49" s="71" t="n"/>
      <c r="CV49" s="71" t="n"/>
      <c r="CW49" s="71" t="n"/>
      <c r="CX49" s="71" t="n"/>
      <c r="CY49" s="71" t="n"/>
      <c r="CZ49" s="71" t="n"/>
      <c r="DA49" s="71" t="n"/>
      <c r="DB49" s="71" t="n"/>
      <c r="DC49" s="71" t="n"/>
      <c r="DD49" s="71" t="n"/>
      <c r="DE49" s="71" t="n"/>
      <c r="DF49" s="71" t="n"/>
      <c r="DG49" s="71" t="n"/>
      <c r="DH49" s="71" t="n"/>
      <c r="DI49" s="71" t="n"/>
      <c r="DJ49" s="71" t="n"/>
      <c r="DK49" s="71" t="n"/>
      <c r="DL49" s="71" t="n"/>
      <c r="DM49" s="71" t="n"/>
      <c r="DN49" s="71" t="n"/>
      <c r="DO49" s="71" t="n"/>
      <c r="DP49" s="71" t="n"/>
      <c r="DQ49" s="71" t="n"/>
      <c r="DR49" s="71" t="n"/>
      <c r="DS49" s="71" t="n"/>
      <c r="DT49" s="71" t="n"/>
      <c r="DU49" s="71" t="n"/>
      <c r="DV49" s="71" t="n"/>
      <c r="DW49" s="71" t="n"/>
      <c r="DX49" s="71" t="n"/>
      <c r="DY49" s="71" t="n"/>
      <c r="DZ49" s="71" t="n"/>
      <c r="EA49" s="71" t="n"/>
      <c r="EB49" s="71" t="n"/>
      <c r="EC49" s="71" t="n"/>
      <c r="ED49" s="71" t="n"/>
      <c r="EE49" s="71" t="n"/>
      <c r="EF49" s="71" t="n"/>
      <c r="EG49" s="71" t="n"/>
      <c r="EH49" s="71" t="n"/>
      <c r="EI49" s="71" t="n"/>
      <c r="EJ49" s="71" t="n"/>
      <c r="EK49" s="71" t="n"/>
      <c r="EL49" s="71" t="n"/>
      <c r="EM49" s="71" t="n"/>
      <c r="EN49" s="71" t="n"/>
      <c r="EO49" s="71" t="n"/>
      <c r="EP49" s="71" t="n"/>
      <c r="EQ49" s="71" t="n"/>
      <c r="ER49" s="71" t="n"/>
      <c r="ES49" s="71" t="n"/>
      <c r="ET49" s="71" t="n"/>
      <c r="EU49" s="71" t="n"/>
      <c r="EV49" s="71" t="n"/>
      <c r="EW49" s="71" t="n"/>
      <c r="EX49" s="71" t="n"/>
      <c r="EY49" s="71" t="n"/>
      <c r="EZ49" s="71" t="n"/>
      <c r="FA49" s="71" t="n"/>
      <c r="FB49" s="71" t="n"/>
      <c r="FC49" s="71" t="n"/>
      <c r="FD49" s="71" t="n"/>
      <c r="FE49" s="71" t="n"/>
      <c r="FF49" s="71" t="n"/>
      <c r="FG49" s="71" t="n"/>
      <c r="FH49" s="71" t="n"/>
      <c r="FI49" s="71" t="n"/>
      <c r="FJ49" s="71" t="n"/>
      <c r="FK49" s="71" t="n"/>
      <c r="FL49" s="71" t="n"/>
      <c r="FM49" s="71" t="n"/>
      <c r="FN49" s="71" t="n"/>
      <c r="FO49" s="71" t="n"/>
      <c r="FP49" s="71" t="n"/>
      <c r="FQ49" s="71" t="n"/>
      <c r="FR49" s="71" t="n"/>
      <c r="FS49" s="71" t="n"/>
      <c r="FT49" s="71" t="n"/>
      <c r="FU49" s="71" t="n"/>
      <c r="FV49" s="71" t="n"/>
      <c r="FW49" s="71" t="n"/>
      <c r="FX49" s="71" t="n"/>
      <c r="FY49" s="71" t="n"/>
      <c r="FZ49" s="71" t="n"/>
      <c r="GA49" s="71" t="n"/>
      <c r="GB49" s="71" t="n"/>
      <c r="GC49" s="71" t="n"/>
      <c r="GD49" s="71" t="n"/>
      <c r="GE49" s="71" t="n"/>
      <c r="GF49" s="71" t="n"/>
      <c r="GG49" s="71" t="n"/>
      <c r="GH49" s="71" t="n"/>
      <c r="GI49" s="71" t="n"/>
      <c r="GJ49" s="71" t="n"/>
      <c r="GK49" s="71" t="n"/>
      <c r="GL49" s="71" t="n"/>
      <c r="GM49" s="71" t="n"/>
      <c r="GN49" s="71" t="n"/>
      <c r="GO49" s="71" t="n"/>
      <c r="GP49" s="71" t="n"/>
      <c r="GQ49" s="71" t="n"/>
      <c r="GR49" s="71" t="n"/>
      <c r="GS49" s="71" t="n"/>
      <c r="GT49" s="71" t="n"/>
      <c r="GU49" s="71" t="n"/>
      <c r="GV49" s="71" t="n"/>
      <c r="GW49" s="71" t="n"/>
      <c r="GX49" s="71" t="n"/>
      <c r="GY49" s="71" t="n"/>
      <c r="GZ49" s="71" t="n"/>
      <c r="HA49" s="71" t="n"/>
      <c r="HB49" s="71" t="n"/>
      <c r="HC49" s="71" t="n"/>
      <c r="HD49" s="71" t="n"/>
      <c r="HE49" s="71" t="n"/>
      <c r="HF49" s="71" t="n"/>
      <c r="HG49" s="71" t="n"/>
      <c r="HH49" s="71" t="n"/>
      <c r="HI49" s="71" t="n"/>
      <c r="HJ49" s="71" t="n"/>
      <c r="HK49" s="71" t="n"/>
      <c r="HL49" s="71" t="n"/>
      <c r="HM49" s="71" t="n"/>
      <c r="HN49" s="71" t="n"/>
      <c r="HO49" s="71" t="n"/>
      <c r="HP49" s="71" t="n"/>
      <c r="HQ49" s="71" t="n"/>
      <c r="HR49" s="71" t="n"/>
      <c r="HS49" s="71" t="n"/>
      <c r="HT49" s="71" t="n"/>
      <c r="HU49" s="71" t="n"/>
      <c r="HV49" s="71" t="n"/>
      <c r="HW49" s="71" t="n"/>
      <c r="HX49" s="71" t="n"/>
      <c r="HY49" s="71" t="n"/>
      <c r="HZ49" s="71" t="n"/>
      <c r="IA49" s="71" t="n"/>
      <c r="IB49" s="71" t="n"/>
      <c r="IC49" s="71" t="n"/>
      <c r="ID49" s="71" t="n"/>
      <c r="IE49" s="71" t="n"/>
      <c r="IF49" s="71" t="n"/>
      <c r="IG49" s="71" t="n"/>
      <c r="IH49" s="71" t="n"/>
      <c r="II49" s="71" t="n"/>
      <c r="IJ49" s="71" t="n"/>
      <c r="IK49" s="71" t="n"/>
      <c r="IL49" s="71" t="n"/>
      <c r="IM49" s="71" t="n"/>
      <c r="IN49" s="71" t="n"/>
      <c r="IO49" s="71" t="n"/>
      <c r="IP49" s="71" t="n"/>
      <c r="IQ49" s="71" t="n"/>
      <c r="IR49" s="71" t="n"/>
      <c r="IS49" s="71" t="n"/>
      <c r="IT49" s="71" t="n"/>
      <c r="IU49" s="71" t="n"/>
      <c r="IV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  <c r="G50" s="71" t="n"/>
      <c r="H50" s="71" t="n"/>
      <c r="I50" s="71" t="n"/>
      <c r="J50" s="71" t="n"/>
      <c r="K50" s="71" t="n"/>
      <c r="L50" s="71" t="n"/>
      <c r="M50" s="71" t="n"/>
      <c r="N50" s="71" t="n"/>
      <c r="O50" s="71" t="n"/>
      <c r="P50" s="71" t="n"/>
      <c r="Q50" s="71" t="n"/>
      <c r="R50" s="71" t="n"/>
      <c r="S50" s="71" t="n"/>
      <c r="T50" s="71" t="n"/>
      <c r="U50" s="71" t="n"/>
      <c r="V50" s="71" t="n"/>
      <c r="W50" s="71" t="n"/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1" t="n"/>
      <c r="AG50" s="71" t="n"/>
      <c r="AH50" s="71" t="n"/>
      <c r="AI50" s="71" t="n"/>
      <c r="AJ50" s="71" t="n"/>
      <c r="AK50" s="71" t="n"/>
      <c r="AL50" s="71" t="n"/>
      <c r="AM50" s="71" t="n"/>
      <c r="AN50" s="71" t="n"/>
      <c r="AO50" s="71" t="n"/>
      <c r="AP50" s="71" t="n"/>
      <c r="AQ50" s="71" t="n"/>
      <c r="AR50" s="71" t="n"/>
      <c r="AS50" s="71" t="n"/>
      <c r="AT50" s="71" t="n"/>
      <c r="AU50" s="71" t="n"/>
      <c r="AV50" s="71" t="n"/>
      <c r="AW50" s="71" t="n"/>
      <c r="AX50" s="71" t="n"/>
      <c r="AY50" s="71" t="n"/>
      <c r="AZ50" s="71" t="n"/>
      <c r="BA50" s="71" t="n"/>
      <c r="BB50" s="71" t="n"/>
      <c r="BC50" s="71" t="n"/>
      <c r="BD50" s="71" t="n"/>
      <c r="BE50" s="71" t="n"/>
      <c r="BF50" s="71" t="n"/>
      <c r="BG50" s="71" t="n"/>
      <c r="BH50" s="71" t="n"/>
      <c r="BI50" s="71" t="n"/>
      <c r="BJ50" s="71" t="n"/>
      <c r="BK50" s="71" t="n"/>
      <c r="BL50" s="71" t="n"/>
      <c r="BM50" s="71" t="n"/>
      <c r="BN50" s="71" t="n"/>
      <c r="BO50" s="71" t="n"/>
      <c r="BP50" s="71" t="n"/>
      <c r="BQ50" s="71" t="n"/>
      <c r="BR50" s="71" t="n"/>
      <c r="BS50" s="71" t="n"/>
      <c r="BT50" s="71" t="n"/>
      <c r="BU50" s="71" t="n"/>
      <c r="BV50" s="71" t="n"/>
      <c r="BW50" s="71" t="n"/>
      <c r="BX50" s="71" t="n"/>
      <c r="BY50" s="71" t="n"/>
      <c r="BZ50" s="71" t="n"/>
      <c r="CA50" s="71" t="n"/>
      <c r="CB50" s="71" t="n"/>
      <c r="CC50" s="71" t="n"/>
      <c r="CD50" s="71" t="n"/>
      <c r="CE50" s="71" t="n"/>
      <c r="CF50" s="71" t="n"/>
      <c r="CG50" s="71" t="n"/>
      <c r="CH50" s="71" t="n"/>
      <c r="CI50" s="71" t="n"/>
      <c r="CJ50" s="71" t="n"/>
      <c r="CK50" s="71" t="n"/>
      <c r="CL50" s="71" t="n"/>
      <c r="CM50" s="71" t="n"/>
      <c r="CN50" s="71" t="n"/>
      <c r="CO50" s="71" t="n"/>
      <c r="CP50" s="71" t="n"/>
      <c r="CQ50" s="71" t="n"/>
      <c r="CR50" s="71" t="n"/>
      <c r="CS50" s="71" t="n"/>
      <c r="CT50" s="71" t="n"/>
      <c r="CU50" s="71" t="n"/>
      <c r="CV50" s="71" t="n"/>
      <c r="CW50" s="71" t="n"/>
      <c r="CX50" s="71" t="n"/>
      <c r="CY50" s="71" t="n"/>
      <c r="CZ50" s="71" t="n"/>
      <c r="DA50" s="71" t="n"/>
      <c r="DB50" s="71" t="n"/>
      <c r="DC50" s="71" t="n"/>
      <c r="DD50" s="71" t="n"/>
      <c r="DE50" s="71" t="n"/>
      <c r="DF50" s="71" t="n"/>
      <c r="DG50" s="71" t="n"/>
      <c r="DH50" s="71" t="n"/>
      <c r="DI50" s="71" t="n"/>
      <c r="DJ50" s="71" t="n"/>
      <c r="DK50" s="71" t="n"/>
      <c r="DL50" s="71" t="n"/>
      <c r="DM50" s="71" t="n"/>
      <c r="DN50" s="71" t="n"/>
      <c r="DO50" s="71" t="n"/>
      <c r="DP50" s="71" t="n"/>
      <c r="DQ50" s="71" t="n"/>
      <c r="DR50" s="71" t="n"/>
      <c r="DS50" s="71" t="n"/>
      <c r="DT50" s="71" t="n"/>
      <c r="DU50" s="71" t="n"/>
      <c r="DV50" s="71" t="n"/>
      <c r="DW50" s="71" t="n"/>
      <c r="DX50" s="71" t="n"/>
      <c r="DY50" s="71" t="n"/>
      <c r="DZ50" s="71" t="n"/>
      <c r="EA50" s="71" t="n"/>
      <c r="EB50" s="71" t="n"/>
      <c r="EC50" s="71" t="n"/>
      <c r="ED50" s="71" t="n"/>
      <c r="EE50" s="71" t="n"/>
      <c r="EF50" s="71" t="n"/>
      <c r="EG50" s="71" t="n"/>
      <c r="EH50" s="71" t="n"/>
      <c r="EI50" s="71" t="n"/>
      <c r="EJ50" s="71" t="n"/>
      <c r="EK50" s="71" t="n"/>
      <c r="EL50" s="71" t="n"/>
      <c r="EM50" s="71" t="n"/>
      <c r="EN50" s="71" t="n"/>
      <c r="EO50" s="71" t="n"/>
      <c r="EP50" s="71" t="n"/>
      <c r="EQ50" s="71" t="n"/>
      <c r="ER50" s="71" t="n"/>
      <c r="ES50" s="71" t="n"/>
      <c r="ET50" s="71" t="n"/>
      <c r="EU50" s="71" t="n"/>
      <c r="EV50" s="71" t="n"/>
      <c r="EW50" s="71" t="n"/>
      <c r="EX50" s="71" t="n"/>
      <c r="EY50" s="71" t="n"/>
      <c r="EZ50" s="71" t="n"/>
      <c r="FA50" s="71" t="n"/>
      <c r="FB50" s="71" t="n"/>
      <c r="FC50" s="71" t="n"/>
      <c r="FD50" s="71" t="n"/>
      <c r="FE50" s="71" t="n"/>
      <c r="FF50" s="71" t="n"/>
      <c r="FG50" s="71" t="n"/>
      <c r="FH50" s="71" t="n"/>
      <c r="FI50" s="71" t="n"/>
      <c r="FJ50" s="71" t="n"/>
      <c r="FK50" s="71" t="n"/>
      <c r="FL50" s="71" t="n"/>
      <c r="FM50" s="71" t="n"/>
      <c r="FN50" s="71" t="n"/>
      <c r="FO50" s="71" t="n"/>
      <c r="FP50" s="71" t="n"/>
      <c r="FQ50" s="71" t="n"/>
      <c r="FR50" s="71" t="n"/>
      <c r="FS50" s="71" t="n"/>
      <c r="FT50" s="71" t="n"/>
      <c r="FU50" s="71" t="n"/>
      <c r="FV50" s="71" t="n"/>
      <c r="FW50" s="71" t="n"/>
      <c r="FX50" s="71" t="n"/>
      <c r="FY50" s="71" t="n"/>
      <c r="FZ50" s="71" t="n"/>
      <c r="GA50" s="71" t="n"/>
      <c r="GB50" s="71" t="n"/>
      <c r="GC50" s="71" t="n"/>
      <c r="GD50" s="71" t="n"/>
      <c r="GE50" s="71" t="n"/>
      <c r="GF50" s="71" t="n"/>
      <c r="GG50" s="71" t="n"/>
      <c r="GH50" s="71" t="n"/>
      <c r="GI50" s="71" t="n"/>
      <c r="GJ50" s="71" t="n"/>
      <c r="GK50" s="71" t="n"/>
      <c r="GL50" s="71" t="n"/>
      <c r="GM50" s="71" t="n"/>
      <c r="GN50" s="71" t="n"/>
      <c r="GO50" s="71" t="n"/>
      <c r="GP50" s="71" t="n"/>
      <c r="GQ50" s="71" t="n"/>
      <c r="GR50" s="71" t="n"/>
      <c r="GS50" s="71" t="n"/>
      <c r="GT50" s="71" t="n"/>
      <c r="GU50" s="71" t="n"/>
      <c r="GV50" s="71" t="n"/>
      <c r="GW50" s="71" t="n"/>
      <c r="GX50" s="71" t="n"/>
      <c r="GY50" s="71" t="n"/>
      <c r="GZ50" s="71" t="n"/>
      <c r="HA50" s="71" t="n"/>
      <c r="HB50" s="71" t="n"/>
      <c r="HC50" s="71" t="n"/>
      <c r="HD50" s="71" t="n"/>
      <c r="HE50" s="71" t="n"/>
      <c r="HF50" s="71" t="n"/>
      <c r="HG50" s="71" t="n"/>
      <c r="HH50" s="71" t="n"/>
      <c r="HI50" s="71" t="n"/>
      <c r="HJ50" s="71" t="n"/>
      <c r="HK50" s="71" t="n"/>
      <c r="HL50" s="71" t="n"/>
      <c r="HM50" s="71" t="n"/>
      <c r="HN50" s="71" t="n"/>
      <c r="HO50" s="71" t="n"/>
      <c r="HP50" s="71" t="n"/>
      <c r="HQ50" s="71" t="n"/>
      <c r="HR50" s="71" t="n"/>
      <c r="HS50" s="71" t="n"/>
      <c r="HT50" s="71" t="n"/>
      <c r="HU50" s="71" t="n"/>
      <c r="HV50" s="71" t="n"/>
      <c r="HW50" s="71" t="n"/>
      <c r="HX50" s="71" t="n"/>
      <c r="HY50" s="71" t="n"/>
      <c r="HZ50" s="71" t="n"/>
      <c r="IA50" s="71" t="n"/>
      <c r="IB50" s="71" t="n"/>
      <c r="IC50" s="71" t="n"/>
      <c r="ID50" s="71" t="n"/>
      <c r="IE50" s="71" t="n"/>
      <c r="IF50" s="71" t="n"/>
      <c r="IG50" s="71" t="n"/>
      <c r="IH50" s="71" t="n"/>
      <c r="II50" s="71" t="n"/>
      <c r="IJ50" s="71" t="n"/>
      <c r="IK50" s="71" t="n"/>
      <c r="IL50" s="71" t="n"/>
      <c r="IM50" s="71" t="n"/>
      <c r="IN50" s="71" t="n"/>
      <c r="IO50" s="71" t="n"/>
      <c r="IP50" s="71" t="n"/>
      <c r="IQ50" s="71" t="n"/>
      <c r="IR50" s="71" t="n"/>
      <c r="IS50" s="71" t="n"/>
      <c r="IT50" s="71" t="n"/>
      <c r="IU50" s="71" t="n"/>
      <c r="IV50" s="71" t="n"/>
    </row>
    <row r="51" ht="14" customHeight="1" s="195" thickTop="1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  <c r="AA51" s="27" t="n"/>
      <c r="AB51" s="27" t="n"/>
      <c r="AC51" s="27" t="n"/>
      <c r="AD51" s="27" t="n"/>
      <c r="AE51" s="27" t="n"/>
      <c r="AF51" s="27" t="n"/>
      <c r="AG51" s="27" t="n"/>
      <c r="AH51" s="27" t="n"/>
      <c r="AI51" s="27" t="n"/>
      <c r="AJ51" s="27" t="n"/>
      <c r="AK51" s="27" t="n"/>
      <c r="AL51" s="27" t="n"/>
      <c r="AM51" s="27" t="n"/>
      <c r="AN51" s="27" t="n"/>
      <c r="AO51" s="27" t="n"/>
      <c r="AP51" s="27" t="n"/>
      <c r="AQ51" s="27" t="n"/>
      <c r="AR51" s="27" t="n"/>
      <c r="AS51" s="27" t="n"/>
      <c r="AT51" s="27" t="n"/>
      <c r="AU51" s="27" t="n"/>
      <c r="AV51" s="27" t="n"/>
      <c r="AW51" s="27" t="n"/>
      <c r="AX51" s="27" t="n"/>
      <c r="AY51" s="27" t="n"/>
      <c r="AZ51" s="27" t="n"/>
      <c r="BA51" s="27" t="n"/>
      <c r="BB51" s="27" t="n"/>
      <c r="BC51" s="27" t="n"/>
      <c r="BD51" s="27" t="n"/>
      <c r="BE51" s="27" t="n"/>
      <c r="BF51" s="27" t="n"/>
      <c r="BG51" s="27" t="n"/>
      <c r="BH51" s="27" t="n"/>
      <c r="BI51" s="27" t="n"/>
      <c r="BJ51" s="27" t="n"/>
      <c r="BK51" s="27" t="n"/>
      <c r="BL51" s="27" t="n"/>
      <c r="BM51" s="27" t="n"/>
      <c r="BN51" s="27" t="n"/>
      <c r="BO51" s="27" t="n"/>
      <c r="BP51" s="27" t="n"/>
      <c r="BQ51" s="27" t="n"/>
      <c r="BR51" s="27" t="n"/>
      <c r="BS51" s="27" t="n"/>
      <c r="BT51" s="27" t="n"/>
      <c r="BU51" s="27" t="n"/>
      <c r="BV51" s="27" t="n"/>
      <c r="BW51" s="27" t="n"/>
      <c r="BX51" s="27" t="n"/>
      <c r="BY51" s="27" t="n"/>
      <c r="BZ51" s="27" t="n"/>
      <c r="CA51" s="27" t="n"/>
      <c r="CB51" s="27" t="n"/>
      <c r="CC51" s="27" t="n"/>
      <c r="CD51" s="27" t="n"/>
      <c r="CE51" s="27" t="n"/>
      <c r="CF51" s="27" t="n"/>
      <c r="CG51" s="27" t="n"/>
      <c r="CH51" s="27" t="n"/>
      <c r="CI51" s="27" t="n"/>
      <c r="CJ51" s="27" t="n"/>
      <c r="CK51" s="27" t="n"/>
      <c r="CL51" s="27" t="n"/>
      <c r="CM51" s="27" t="n"/>
      <c r="CN51" s="27" t="n"/>
      <c r="CO51" s="27" t="n"/>
      <c r="CP51" s="27" t="n"/>
      <c r="CQ51" s="27" t="n"/>
      <c r="CR51" s="27" t="n"/>
      <c r="CS51" s="27" t="n"/>
      <c r="CT51" s="27" t="n"/>
      <c r="CU51" s="27" t="n"/>
      <c r="CV51" s="27" t="n"/>
      <c r="CW51" s="27" t="n"/>
      <c r="CX51" s="27" t="n"/>
      <c r="CY51" s="27" t="n"/>
      <c r="CZ51" s="27" t="n"/>
      <c r="DA51" s="27" t="n"/>
      <c r="DB51" s="27" t="n"/>
      <c r="DC51" s="27" t="n"/>
      <c r="DD51" s="27" t="n"/>
      <c r="DE51" s="27" t="n"/>
      <c r="DF51" s="27" t="n"/>
      <c r="DG51" s="27" t="n"/>
      <c r="DH51" s="27" t="n"/>
      <c r="DI51" s="27" t="n"/>
      <c r="DJ51" s="27" t="n"/>
      <c r="DK51" s="27" t="n"/>
      <c r="DL51" s="27" t="n"/>
      <c r="DM51" s="27" t="n"/>
      <c r="DN51" s="27" t="n"/>
      <c r="DO51" s="27" t="n"/>
      <c r="DP51" s="27" t="n"/>
      <c r="DQ51" s="27" t="n"/>
      <c r="DR51" s="27" t="n"/>
      <c r="DS51" s="27" t="n"/>
      <c r="DT51" s="27" t="n"/>
      <c r="DU51" s="27" t="n"/>
      <c r="DV51" s="27" t="n"/>
      <c r="DW51" s="27" t="n"/>
      <c r="DX51" s="27" t="n"/>
      <c r="DY51" s="27" t="n"/>
      <c r="DZ51" s="27" t="n"/>
      <c r="EA51" s="27" t="n"/>
      <c r="EB51" s="27" t="n"/>
      <c r="EC51" s="27" t="n"/>
      <c r="ED51" s="27" t="n"/>
      <c r="EE51" s="27" t="n"/>
      <c r="EF51" s="27" t="n"/>
      <c r="EG51" s="27" t="n"/>
      <c r="EH51" s="27" t="n"/>
      <c r="EI51" s="27" t="n"/>
      <c r="EJ51" s="27" t="n"/>
      <c r="EK51" s="27" t="n"/>
      <c r="EL51" s="27" t="n"/>
      <c r="EM51" s="27" t="n"/>
      <c r="EN51" s="27" t="n"/>
      <c r="EO51" s="27" t="n"/>
      <c r="EP51" s="27" t="n"/>
      <c r="EQ51" s="27" t="n"/>
      <c r="ER51" s="27" t="n"/>
      <c r="ES51" s="27" t="n"/>
      <c r="ET51" s="27" t="n"/>
      <c r="EU51" s="27" t="n"/>
      <c r="EV51" s="27" t="n"/>
      <c r="EW51" s="27" t="n"/>
      <c r="EX51" s="27" t="n"/>
      <c r="EY51" s="27" t="n"/>
      <c r="EZ51" s="27" t="n"/>
      <c r="FA51" s="27" t="n"/>
      <c r="FB51" s="27" t="n"/>
      <c r="FC51" s="27" t="n"/>
      <c r="FD51" s="27" t="n"/>
      <c r="FE51" s="27" t="n"/>
      <c r="FF51" s="27" t="n"/>
      <c r="FG51" s="27" t="n"/>
      <c r="FH51" s="27" t="n"/>
      <c r="FI51" s="27" t="n"/>
      <c r="FJ51" s="27" t="n"/>
      <c r="FK51" s="27" t="n"/>
      <c r="FL51" s="27" t="n"/>
      <c r="FM51" s="27" t="n"/>
      <c r="FN51" s="27" t="n"/>
      <c r="FO51" s="27" t="n"/>
      <c r="FP51" s="27" t="n"/>
      <c r="FQ51" s="27" t="n"/>
      <c r="FR51" s="27" t="n"/>
      <c r="FS51" s="27" t="n"/>
      <c r="FT51" s="27" t="n"/>
      <c r="FU51" s="27" t="n"/>
      <c r="FV51" s="27" t="n"/>
      <c r="FW51" s="27" t="n"/>
      <c r="FX51" s="27" t="n"/>
      <c r="FY51" s="27" t="n"/>
      <c r="FZ51" s="27" t="n"/>
      <c r="GA51" s="27" t="n"/>
      <c r="GB51" s="27" t="n"/>
      <c r="GC51" s="27" t="n"/>
      <c r="GD51" s="27" t="n"/>
      <c r="GE51" s="27" t="n"/>
      <c r="GF51" s="27" t="n"/>
      <c r="GG51" s="27" t="n"/>
      <c r="GH51" s="27" t="n"/>
      <c r="GI51" s="27" t="n"/>
      <c r="GJ51" s="27" t="n"/>
      <c r="GK51" s="27" t="n"/>
      <c r="GL51" s="27" t="n"/>
      <c r="GM51" s="27" t="n"/>
      <c r="GN51" s="27" t="n"/>
      <c r="GO51" s="27" t="n"/>
      <c r="GP51" s="27" t="n"/>
      <c r="GQ51" s="27" t="n"/>
      <c r="GR51" s="27" t="n"/>
      <c r="GS51" s="27" t="n"/>
      <c r="GT51" s="27" t="n"/>
      <c r="GU51" s="27" t="n"/>
      <c r="GV51" s="27" t="n"/>
      <c r="GW51" s="27" t="n"/>
      <c r="GX51" s="27" t="n"/>
      <c r="GY51" s="27" t="n"/>
      <c r="GZ51" s="27" t="n"/>
      <c r="HA51" s="27" t="n"/>
      <c r="HB51" s="27" t="n"/>
      <c r="HC51" s="27" t="n"/>
      <c r="HD51" s="27" t="n"/>
      <c r="HE51" s="27" t="n"/>
      <c r="HF51" s="27" t="n"/>
      <c r="HG51" s="27" t="n"/>
      <c r="HH51" s="27" t="n"/>
      <c r="HI51" s="27" t="n"/>
      <c r="HJ51" s="27" t="n"/>
      <c r="HK51" s="27" t="n"/>
      <c r="HL51" s="27" t="n"/>
      <c r="HM51" s="27" t="n"/>
      <c r="HN51" s="27" t="n"/>
      <c r="HO51" s="27" t="n"/>
      <c r="HP51" s="27" t="n"/>
      <c r="HQ51" s="27" t="n"/>
      <c r="HR51" s="27" t="n"/>
      <c r="HS51" s="27" t="n"/>
      <c r="HT51" s="27" t="n"/>
      <c r="HU51" s="27" t="n"/>
      <c r="HV51" s="27" t="n"/>
      <c r="HW51" s="27" t="n"/>
      <c r="HX51" s="27" t="n"/>
      <c r="HY51" s="27" t="n"/>
      <c r="HZ51" s="27" t="n"/>
      <c r="IA51" s="27" t="n"/>
      <c r="IB51" s="27" t="n"/>
      <c r="IC51" s="27" t="n"/>
      <c r="ID51" s="27" t="n"/>
      <c r="IE51" s="27" t="n"/>
      <c r="IF51" s="27" t="n"/>
      <c r="IG51" s="27" t="n"/>
      <c r="IH51" s="27" t="n"/>
      <c r="II51" s="27" t="n"/>
      <c r="IJ51" s="27" t="n"/>
      <c r="IK51" s="27" t="n"/>
      <c r="IL51" s="27" t="n"/>
      <c r="IM51" s="27" t="n"/>
      <c r="IN51" s="27" t="n"/>
      <c r="IO51" s="27" t="n"/>
      <c r="IP51" s="27" t="n"/>
      <c r="IQ51" s="27" t="n"/>
      <c r="IR51" s="27" t="n"/>
      <c r="IS51" s="27" t="n"/>
      <c r="IT51" s="27" t="n"/>
      <c r="IU51" s="27" t="n"/>
      <c r="IV51" s="27" t="n"/>
    </row>
    <row r="52" ht="13" customHeight="1" s="195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  <c r="AA52" s="27" t="n"/>
      <c r="AB52" s="27" t="n"/>
      <c r="AC52" s="27" t="n"/>
      <c r="AD52" s="27" t="n"/>
      <c r="AE52" s="27" t="n"/>
      <c r="AF52" s="27" t="n"/>
      <c r="AG52" s="27" t="n"/>
      <c r="AH52" s="27" t="n"/>
      <c r="AI52" s="27" t="n"/>
      <c r="AJ52" s="27" t="n"/>
      <c r="AK52" s="27" t="n"/>
      <c r="AL52" s="27" t="n"/>
      <c r="AM52" s="27" t="n"/>
      <c r="AN52" s="27" t="n"/>
      <c r="AO52" s="27" t="n"/>
      <c r="AP52" s="27" t="n"/>
      <c r="AQ52" s="27" t="n"/>
      <c r="AR52" s="27" t="n"/>
      <c r="AS52" s="27" t="n"/>
      <c r="AT52" s="27" t="n"/>
      <c r="AU52" s="27" t="n"/>
      <c r="AV52" s="27" t="n"/>
      <c r="AW52" s="27" t="n"/>
      <c r="AX52" s="27" t="n"/>
      <c r="AY52" s="27" t="n"/>
      <c r="AZ52" s="27" t="n"/>
      <c r="BA52" s="27" t="n"/>
      <c r="BB52" s="27" t="n"/>
      <c r="BC52" s="27" t="n"/>
      <c r="BD52" s="27" t="n"/>
      <c r="BE52" s="27" t="n"/>
      <c r="BF52" s="27" t="n"/>
      <c r="BG52" s="27" t="n"/>
      <c r="BH52" s="27" t="n"/>
      <c r="BI52" s="27" t="n"/>
      <c r="BJ52" s="27" t="n"/>
      <c r="BK52" s="27" t="n"/>
      <c r="BL52" s="27" t="n"/>
      <c r="BM52" s="27" t="n"/>
      <c r="BN52" s="27" t="n"/>
      <c r="BO52" s="27" t="n"/>
      <c r="BP52" s="27" t="n"/>
      <c r="BQ52" s="27" t="n"/>
      <c r="BR52" s="27" t="n"/>
      <c r="BS52" s="27" t="n"/>
      <c r="BT52" s="27" t="n"/>
      <c r="BU52" s="27" t="n"/>
      <c r="BV52" s="27" t="n"/>
      <c r="BW52" s="27" t="n"/>
      <c r="BX52" s="27" t="n"/>
      <c r="BY52" s="27" t="n"/>
      <c r="BZ52" s="27" t="n"/>
      <c r="CA52" s="27" t="n"/>
      <c r="CB52" s="27" t="n"/>
      <c r="CC52" s="27" t="n"/>
      <c r="CD52" s="27" t="n"/>
      <c r="CE52" s="27" t="n"/>
      <c r="CF52" s="27" t="n"/>
      <c r="CG52" s="27" t="n"/>
      <c r="CH52" s="27" t="n"/>
      <c r="CI52" s="27" t="n"/>
      <c r="CJ52" s="27" t="n"/>
      <c r="CK52" s="27" t="n"/>
      <c r="CL52" s="27" t="n"/>
      <c r="CM52" s="27" t="n"/>
      <c r="CN52" s="27" t="n"/>
      <c r="CO52" s="27" t="n"/>
      <c r="CP52" s="27" t="n"/>
      <c r="CQ52" s="27" t="n"/>
      <c r="CR52" s="27" t="n"/>
      <c r="CS52" s="27" t="n"/>
      <c r="CT52" s="27" t="n"/>
      <c r="CU52" s="27" t="n"/>
      <c r="CV52" s="27" t="n"/>
      <c r="CW52" s="27" t="n"/>
      <c r="CX52" s="27" t="n"/>
      <c r="CY52" s="27" t="n"/>
      <c r="CZ52" s="27" t="n"/>
      <c r="DA52" s="27" t="n"/>
      <c r="DB52" s="27" t="n"/>
      <c r="DC52" s="27" t="n"/>
      <c r="DD52" s="27" t="n"/>
      <c r="DE52" s="27" t="n"/>
      <c r="DF52" s="27" t="n"/>
      <c r="DG52" s="27" t="n"/>
      <c r="DH52" s="27" t="n"/>
      <c r="DI52" s="27" t="n"/>
      <c r="DJ52" s="27" t="n"/>
      <c r="DK52" s="27" t="n"/>
      <c r="DL52" s="27" t="n"/>
      <c r="DM52" s="27" t="n"/>
      <c r="DN52" s="27" t="n"/>
      <c r="DO52" s="27" t="n"/>
      <c r="DP52" s="27" t="n"/>
      <c r="DQ52" s="27" t="n"/>
      <c r="DR52" s="27" t="n"/>
      <c r="DS52" s="27" t="n"/>
      <c r="DT52" s="27" t="n"/>
      <c r="DU52" s="27" t="n"/>
      <c r="DV52" s="27" t="n"/>
      <c r="DW52" s="27" t="n"/>
      <c r="DX52" s="27" t="n"/>
      <c r="DY52" s="27" t="n"/>
      <c r="DZ52" s="27" t="n"/>
      <c r="EA52" s="27" t="n"/>
      <c r="EB52" s="27" t="n"/>
      <c r="EC52" s="27" t="n"/>
      <c r="ED52" s="27" t="n"/>
      <c r="EE52" s="27" t="n"/>
      <c r="EF52" s="27" t="n"/>
      <c r="EG52" s="27" t="n"/>
      <c r="EH52" s="27" t="n"/>
      <c r="EI52" s="27" t="n"/>
      <c r="EJ52" s="27" t="n"/>
      <c r="EK52" s="27" t="n"/>
      <c r="EL52" s="27" t="n"/>
      <c r="EM52" s="27" t="n"/>
      <c r="EN52" s="27" t="n"/>
      <c r="EO52" s="27" t="n"/>
      <c r="EP52" s="27" t="n"/>
      <c r="EQ52" s="27" t="n"/>
      <c r="ER52" s="27" t="n"/>
      <c r="ES52" s="27" t="n"/>
      <c r="ET52" s="27" t="n"/>
      <c r="EU52" s="27" t="n"/>
      <c r="EV52" s="27" t="n"/>
      <c r="EW52" s="27" t="n"/>
      <c r="EX52" s="27" t="n"/>
      <c r="EY52" s="27" t="n"/>
      <c r="EZ52" s="27" t="n"/>
      <c r="FA52" s="27" t="n"/>
      <c r="FB52" s="27" t="n"/>
      <c r="FC52" s="27" t="n"/>
      <c r="FD52" s="27" t="n"/>
      <c r="FE52" s="27" t="n"/>
      <c r="FF52" s="27" t="n"/>
      <c r="FG52" s="27" t="n"/>
      <c r="FH52" s="27" t="n"/>
      <c r="FI52" s="27" t="n"/>
      <c r="FJ52" s="27" t="n"/>
      <c r="FK52" s="27" t="n"/>
      <c r="FL52" s="27" t="n"/>
      <c r="FM52" s="27" t="n"/>
      <c r="FN52" s="27" t="n"/>
      <c r="FO52" s="27" t="n"/>
      <c r="FP52" s="27" t="n"/>
      <c r="FQ52" s="27" t="n"/>
      <c r="FR52" s="27" t="n"/>
      <c r="FS52" s="27" t="n"/>
      <c r="FT52" s="27" t="n"/>
      <c r="FU52" s="27" t="n"/>
      <c r="FV52" s="27" t="n"/>
      <c r="FW52" s="27" t="n"/>
      <c r="FX52" s="27" t="n"/>
      <c r="FY52" s="27" t="n"/>
      <c r="FZ52" s="27" t="n"/>
      <c r="GA52" s="27" t="n"/>
      <c r="GB52" s="27" t="n"/>
      <c r="GC52" s="27" t="n"/>
      <c r="GD52" s="27" t="n"/>
      <c r="GE52" s="27" t="n"/>
      <c r="GF52" s="27" t="n"/>
      <c r="GG52" s="27" t="n"/>
      <c r="GH52" s="27" t="n"/>
      <c r="GI52" s="27" t="n"/>
      <c r="GJ52" s="27" t="n"/>
      <c r="GK52" s="27" t="n"/>
      <c r="GL52" s="27" t="n"/>
      <c r="GM52" s="27" t="n"/>
      <c r="GN52" s="27" t="n"/>
      <c r="GO52" s="27" t="n"/>
      <c r="GP52" s="27" t="n"/>
      <c r="GQ52" s="27" t="n"/>
      <c r="GR52" s="27" t="n"/>
      <c r="GS52" s="27" t="n"/>
      <c r="GT52" s="27" t="n"/>
      <c r="GU52" s="27" t="n"/>
      <c r="GV52" s="27" t="n"/>
      <c r="GW52" s="27" t="n"/>
      <c r="GX52" s="27" t="n"/>
      <c r="GY52" s="27" t="n"/>
      <c r="GZ52" s="27" t="n"/>
      <c r="HA52" s="27" t="n"/>
      <c r="HB52" s="27" t="n"/>
      <c r="HC52" s="27" t="n"/>
      <c r="HD52" s="27" t="n"/>
      <c r="HE52" s="27" t="n"/>
      <c r="HF52" s="27" t="n"/>
      <c r="HG52" s="27" t="n"/>
      <c r="HH52" s="27" t="n"/>
      <c r="HI52" s="27" t="n"/>
      <c r="HJ52" s="27" t="n"/>
      <c r="HK52" s="27" t="n"/>
      <c r="HL52" s="27" t="n"/>
      <c r="HM52" s="27" t="n"/>
      <c r="HN52" s="27" t="n"/>
      <c r="HO52" s="27" t="n"/>
      <c r="HP52" s="27" t="n"/>
      <c r="HQ52" s="27" t="n"/>
      <c r="HR52" s="27" t="n"/>
      <c r="HS52" s="27" t="n"/>
      <c r="HT52" s="27" t="n"/>
      <c r="HU52" s="27" t="n"/>
      <c r="HV52" s="27" t="n"/>
      <c r="HW52" s="27" t="n"/>
      <c r="HX52" s="27" t="n"/>
      <c r="HY52" s="27" t="n"/>
      <c r="HZ52" s="27" t="n"/>
      <c r="IA52" s="27" t="n"/>
      <c r="IB52" s="27" t="n"/>
      <c r="IC52" s="27" t="n"/>
      <c r="ID52" s="27" t="n"/>
      <c r="IE52" s="27" t="n"/>
      <c r="IF52" s="27" t="n"/>
      <c r="IG52" s="27" t="n"/>
      <c r="IH52" s="27" t="n"/>
      <c r="II52" s="27" t="n"/>
      <c r="IJ52" s="27" t="n"/>
      <c r="IK52" s="27" t="n"/>
      <c r="IL52" s="27" t="n"/>
      <c r="IM52" s="27" t="n"/>
      <c r="IN52" s="27" t="n"/>
      <c r="IO52" s="27" t="n"/>
      <c r="IP52" s="27" t="n"/>
      <c r="IQ52" s="27" t="n"/>
      <c r="IR52" s="27" t="n"/>
      <c r="IS52" s="27" t="n"/>
      <c r="IT52" s="27" t="n"/>
      <c r="IU52" s="27" t="n"/>
      <c r="IV52" s="27" t="n"/>
    </row>
    <row r="53" ht="13" customHeight="1" s="195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  <c r="AA53" s="27" t="n"/>
      <c r="AB53" s="27" t="n"/>
      <c r="AC53" s="27" t="n"/>
      <c r="AD53" s="27" t="n"/>
      <c r="AE53" s="27" t="n"/>
      <c r="AF53" s="27" t="n"/>
      <c r="AG53" s="27" t="n"/>
      <c r="AH53" s="27" t="n"/>
      <c r="AI53" s="27" t="n"/>
      <c r="AJ53" s="27" t="n"/>
      <c r="AK53" s="27" t="n"/>
      <c r="AL53" s="27" t="n"/>
      <c r="AM53" s="27" t="n"/>
      <c r="AN53" s="27" t="n"/>
      <c r="AO53" s="27" t="n"/>
      <c r="AP53" s="27" t="n"/>
      <c r="AQ53" s="27" t="n"/>
      <c r="AR53" s="27" t="n"/>
      <c r="AS53" s="27" t="n"/>
      <c r="AT53" s="27" t="n"/>
      <c r="AU53" s="27" t="n"/>
      <c r="AV53" s="27" t="n"/>
      <c r="AW53" s="27" t="n"/>
      <c r="AX53" s="27" t="n"/>
      <c r="AY53" s="27" t="n"/>
      <c r="AZ53" s="27" t="n"/>
      <c r="BA53" s="27" t="n"/>
      <c r="BB53" s="27" t="n"/>
      <c r="BC53" s="27" t="n"/>
      <c r="BD53" s="27" t="n"/>
      <c r="BE53" s="27" t="n"/>
      <c r="BF53" s="27" t="n"/>
      <c r="BG53" s="27" t="n"/>
      <c r="BH53" s="27" t="n"/>
      <c r="BI53" s="27" t="n"/>
      <c r="BJ53" s="27" t="n"/>
      <c r="BK53" s="27" t="n"/>
      <c r="BL53" s="27" t="n"/>
      <c r="BM53" s="27" t="n"/>
      <c r="BN53" s="27" t="n"/>
      <c r="BO53" s="27" t="n"/>
      <c r="BP53" s="27" t="n"/>
      <c r="BQ53" s="27" t="n"/>
      <c r="BR53" s="27" t="n"/>
      <c r="BS53" s="27" t="n"/>
      <c r="BT53" s="27" t="n"/>
      <c r="BU53" s="27" t="n"/>
      <c r="BV53" s="27" t="n"/>
      <c r="BW53" s="27" t="n"/>
      <c r="BX53" s="27" t="n"/>
      <c r="BY53" s="27" t="n"/>
      <c r="BZ53" s="27" t="n"/>
      <c r="CA53" s="27" t="n"/>
      <c r="CB53" s="27" t="n"/>
      <c r="CC53" s="27" t="n"/>
      <c r="CD53" s="27" t="n"/>
      <c r="CE53" s="27" t="n"/>
      <c r="CF53" s="27" t="n"/>
      <c r="CG53" s="27" t="n"/>
      <c r="CH53" s="27" t="n"/>
      <c r="CI53" s="27" t="n"/>
      <c r="CJ53" s="27" t="n"/>
      <c r="CK53" s="27" t="n"/>
      <c r="CL53" s="27" t="n"/>
      <c r="CM53" s="27" t="n"/>
      <c r="CN53" s="27" t="n"/>
      <c r="CO53" s="27" t="n"/>
      <c r="CP53" s="27" t="n"/>
      <c r="CQ53" s="27" t="n"/>
      <c r="CR53" s="27" t="n"/>
      <c r="CS53" s="27" t="n"/>
      <c r="CT53" s="27" t="n"/>
      <c r="CU53" s="27" t="n"/>
      <c r="CV53" s="27" t="n"/>
      <c r="CW53" s="27" t="n"/>
      <c r="CX53" s="27" t="n"/>
      <c r="CY53" s="27" t="n"/>
      <c r="CZ53" s="27" t="n"/>
      <c r="DA53" s="27" t="n"/>
      <c r="DB53" s="27" t="n"/>
      <c r="DC53" s="27" t="n"/>
      <c r="DD53" s="27" t="n"/>
      <c r="DE53" s="27" t="n"/>
      <c r="DF53" s="27" t="n"/>
      <c r="DG53" s="27" t="n"/>
      <c r="DH53" s="27" t="n"/>
      <c r="DI53" s="27" t="n"/>
      <c r="DJ53" s="27" t="n"/>
      <c r="DK53" s="27" t="n"/>
      <c r="DL53" s="27" t="n"/>
      <c r="DM53" s="27" t="n"/>
      <c r="DN53" s="27" t="n"/>
      <c r="DO53" s="27" t="n"/>
      <c r="DP53" s="27" t="n"/>
      <c r="DQ53" s="27" t="n"/>
      <c r="DR53" s="27" t="n"/>
      <c r="DS53" s="27" t="n"/>
      <c r="DT53" s="27" t="n"/>
      <c r="DU53" s="27" t="n"/>
      <c r="DV53" s="27" t="n"/>
      <c r="DW53" s="27" t="n"/>
      <c r="DX53" s="27" t="n"/>
      <c r="DY53" s="27" t="n"/>
      <c r="DZ53" s="27" t="n"/>
      <c r="EA53" s="27" t="n"/>
      <c r="EB53" s="27" t="n"/>
      <c r="EC53" s="27" t="n"/>
      <c r="ED53" s="27" t="n"/>
      <c r="EE53" s="27" t="n"/>
      <c r="EF53" s="27" t="n"/>
      <c r="EG53" s="27" t="n"/>
      <c r="EH53" s="27" t="n"/>
      <c r="EI53" s="27" t="n"/>
      <c r="EJ53" s="27" t="n"/>
      <c r="EK53" s="27" t="n"/>
      <c r="EL53" s="27" t="n"/>
      <c r="EM53" s="27" t="n"/>
      <c r="EN53" s="27" t="n"/>
      <c r="EO53" s="27" t="n"/>
      <c r="EP53" s="27" t="n"/>
      <c r="EQ53" s="27" t="n"/>
      <c r="ER53" s="27" t="n"/>
      <c r="ES53" s="27" t="n"/>
      <c r="ET53" s="27" t="n"/>
      <c r="EU53" s="27" t="n"/>
      <c r="EV53" s="27" t="n"/>
      <c r="EW53" s="27" t="n"/>
      <c r="EX53" s="27" t="n"/>
      <c r="EY53" s="27" t="n"/>
      <c r="EZ53" s="27" t="n"/>
      <c r="FA53" s="27" t="n"/>
      <c r="FB53" s="27" t="n"/>
      <c r="FC53" s="27" t="n"/>
      <c r="FD53" s="27" t="n"/>
      <c r="FE53" s="27" t="n"/>
      <c r="FF53" s="27" t="n"/>
      <c r="FG53" s="27" t="n"/>
      <c r="FH53" s="27" t="n"/>
      <c r="FI53" s="27" t="n"/>
      <c r="FJ53" s="27" t="n"/>
      <c r="FK53" s="27" t="n"/>
      <c r="FL53" s="27" t="n"/>
      <c r="FM53" s="27" t="n"/>
      <c r="FN53" s="27" t="n"/>
      <c r="FO53" s="27" t="n"/>
      <c r="FP53" s="27" t="n"/>
      <c r="FQ53" s="27" t="n"/>
      <c r="FR53" s="27" t="n"/>
      <c r="FS53" s="27" t="n"/>
      <c r="FT53" s="27" t="n"/>
      <c r="FU53" s="27" t="n"/>
      <c r="FV53" s="27" t="n"/>
      <c r="FW53" s="27" t="n"/>
      <c r="FX53" s="27" t="n"/>
      <c r="FY53" s="27" t="n"/>
      <c r="FZ53" s="27" t="n"/>
      <c r="GA53" s="27" t="n"/>
      <c r="GB53" s="27" t="n"/>
      <c r="GC53" s="27" t="n"/>
      <c r="GD53" s="27" t="n"/>
      <c r="GE53" s="27" t="n"/>
      <c r="GF53" s="27" t="n"/>
      <c r="GG53" s="27" t="n"/>
      <c r="GH53" s="27" t="n"/>
      <c r="GI53" s="27" t="n"/>
      <c r="GJ53" s="27" t="n"/>
      <c r="GK53" s="27" t="n"/>
      <c r="GL53" s="27" t="n"/>
      <c r="GM53" s="27" t="n"/>
      <c r="GN53" s="27" t="n"/>
      <c r="GO53" s="27" t="n"/>
      <c r="GP53" s="27" t="n"/>
      <c r="GQ53" s="27" t="n"/>
      <c r="GR53" s="27" t="n"/>
      <c r="GS53" s="27" t="n"/>
      <c r="GT53" s="27" t="n"/>
      <c r="GU53" s="27" t="n"/>
      <c r="GV53" s="27" t="n"/>
      <c r="GW53" s="27" t="n"/>
      <c r="GX53" s="27" t="n"/>
      <c r="GY53" s="27" t="n"/>
      <c r="GZ53" s="27" t="n"/>
      <c r="HA53" s="27" t="n"/>
      <c r="HB53" s="27" t="n"/>
      <c r="HC53" s="27" t="n"/>
      <c r="HD53" s="27" t="n"/>
      <c r="HE53" s="27" t="n"/>
      <c r="HF53" s="27" t="n"/>
      <c r="HG53" s="27" t="n"/>
      <c r="HH53" s="27" t="n"/>
      <c r="HI53" s="27" t="n"/>
      <c r="HJ53" s="27" t="n"/>
      <c r="HK53" s="27" t="n"/>
      <c r="HL53" s="27" t="n"/>
      <c r="HM53" s="27" t="n"/>
      <c r="HN53" s="27" t="n"/>
      <c r="HO53" s="27" t="n"/>
      <c r="HP53" s="27" t="n"/>
      <c r="HQ53" s="27" t="n"/>
      <c r="HR53" s="27" t="n"/>
      <c r="HS53" s="27" t="n"/>
      <c r="HT53" s="27" t="n"/>
      <c r="HU53" s="27" t="n"/>
      <c r="HV53" s="27" t="n"/>
      <c r="HW53" s="27" t="n"/>
      <c r="HX53" s="27" t="n"/>
      <c r="HY53" s="27" t="n"/>
      <c r="HZ53" s="27" t="n"/>
      <c r="IA53" s="27" t="n"/>
      <c r="IB53" s="27" t="n"/>
      <c r="IC53" s="27" t="n"/>
      <c r="ID53" s="27" t="n"/>
      <c r="IE53" s="27" t="n"/>
      <c r="IF53" s="27" t="n"/>
      <c r="IG53" s="27" t="n"/>
      <c r="IH53" s="27" t="n"/>
      <c r="II53" s="27" t="n"/>
      <c r="IJ53" s="27" t="n"/>
      <c r="IK53" s="27" t="n"/>
      <c r="IL53" s="27" t="n"/>
      <c r="IM53" s="27" t="n"/>
      <c r="IN53" s="27" t="n"/>
      <c r="IO53" s="27" t="n"/>
      <c r="IP53" s="27" t="n"/>
      <c r="IQ53" s="27" t="n"/>
      <c r="IR53" s="27" t="n"/>
      <c r="IS53" s="27" t="n"/>
      <c r="IT53" s="27" t="n"/>
      <c r="IU53" s="27" t="n"/>
      <c r="IV53" s="27" t="n"/>
    </row>
    <row r="54" ht="13" customHeight="1" s="195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  <c r="AA54" s="27" t="n"/>
      <c r="AB54" s="27" t="n"/>
      <c r="AC54" s="27" t="n"/>
      <c r="AD54" s="27" t="n"/>
      <c r="AE54" s="27" t="n"/>
      <c r="AF54" s="27" t="n"/>
      <c r="AG54" s="27" t="n"/>
      <c r="AH54" s="27" t="n"/>
      <c r="AI54" s="27" t="n"/>
      <c r="AJ54" s="27" t="n"/>
      <c r="AK54" s="27" t="n"/>
      <c r="AL54" s="27" t="n"/>
      <c r="AM54" s="27" t="n"/>
      <c r="AN54" s="27" t="n"/>
      <c r="AO54" s="27" t="n"/>
      <c r="AP54" s="27" t="n"/>
      <c r="AQ54" s="27" t="n"/>
      <c r="AR54" s="27" t="n"/>
      <c r="AS54" s="27" t="n"/>
      <c r="AT54" s="27" t="n"/>
      <c r="AU54" s="27" t="n"/>
      <c r="AV54" s="27" t="n"/>
      <c r="AW54" s="27" t="n"/>
      <c r="AX54" s="27" t="n"/>
      <c r="AY54" s="27" t="n"/>
      <c r="AZ54" s="27" t="n"/>
      <c r="BA54" s="27" t="n"/>
      <c r="BB54" s="27" t="n"/>
      <c r="BC54" s="27" t="n"/>
      <c r="BD54" s="27" t="n"/>
      <c r="BE54" s="27" t="n"/>
      <c r="BF54" s="27" t="n"/>
      <c r="BG54" s="27" t="n"/>
      <c r="BH54" s="27" t="n"/>
      <c r="BI54" s="27" t="n"/>
      <c r="BJ54" s="27" t="n"/>
      <c r="BK54" s="27" t="n"/>
      <c r="BL54" s="27" t="n"/>
      <c r="BM54" s="27" t="n"/>
      <c r="BN54" s="27" t="n"/>
      <c r="BO54" s="27" t="n"/>
      <c r="BP54" s="27" t="n"/>
      <c r="BQ54" s="27" t="n"/>
      <c r="BR54" s="27" t="n"/>
      <c r="BS54" s="27" t="n"/>
      <c r="BT54" s="27" t="n"/>
      <c r="BU54" s="27" t="n"/>
      <c r="BV54" s="27" t="n"/>
      <c r="BW54" s="27" t="n"/>
      <c r="BX54" s="27" t="n"/>
      <c r="BY54" s="27" t="n"/>
      <c r="BZ54" s="27" t="n"/>
      <c r="CA54" s="27" t="n"/>
      <c r="CB54" s="27" t="n"/>
      <c r="CC54" s="27" t="n"/>
      <c r="CD54" s="27" t="n"/>
      <c r="CE54" s="27" t="n"/>
      <c r="CF54" s="27" t="n"/>
      <c r="CG54" s="27" t="n"/>
      <c r="CH54" s="27" t="n"/>
      <c r="CI54" s="27" t="n"/>
      <c r="CJ54" s="27" t="n"/>
      <c r="CK54" s="27" t="n"/>
      <c r="CL54" s="27" t="n"/>
      <c r="CM54" s="27" t="n"/>
      <c r="CN54" s="27" t="n"/>
      <c r="CO54" s="27" t="n"/>
      <c r="CP54" s="27" t="n"/>
      <c r="CQ54" s="27" t="n"/>
      <c r="CR54" s="27" t="n"/>
      <c r="CS54" s="27" t="n"/>
      <c r="CT54" s="27" t="n"/>
      <c r="CU54" s="27" t="n"/>
      <c r="CV54" s="27" t="n"/>
      <c r="CW54" s="27" t="n"/>
      <c r="CX54" s="27" t="n"/>
      <c r="CY54" s="27" t="n"/>
      <c r="CZ54" s="27" t="n"/>
      <c r="DA54" s="27" t="n"/>
      <c r="DB54" s="27" t="n"/>
      <c r="DC54" s="27" t="n"/>
      <c r="DD54" s="27" t="n"/>
      <c r="DE54" s="27" t="n"/>
      <c r="DF54" s="27" t="n"/>
      <c r="DG54" s="27" t="n"/>
      <c r="DH54" s="27" t="n"/>
      <c r="DI54" s="27" t="n"/>
      <c r="DJ54" s="27" t="n"/>
      <c r="DK54" s="27" t="n"/>
      <c r="DL54" s="27" t="n"/>
      <c r="DM54" s="27" t="n"/>
      <c r="DN54" s="27" t="n"/>
      <c r="DO54" s="27" t="n"/>
      <c r="DP54" s="27" t="n"/>
      <c r="DQ54" s="27" t="n"/>
      <c r="DR54" s="27" t="n"/>
      <c r="DS54" s="27" t="n"/>
      <c r="DT54" s="27" t="n"/>
      <c r="DU54" s="27" t="n"/>
      <c r="DV54" s="27" t="n"/>
      <c r="DW54" s="27" t="n"/>
      <c r="DX54" s="27" t="n"/>
      <c r="DY54" s="27" t="n"/>
      <c r="DZ54" s="27" t="n"/>
      <c r="EA54" s="27" t="n"/>
      <c r="EB54" s="27" t="n"/>
      <c r="EC54" s="27" t="n"/>
      <c r="ED54" s="27" t="n"/>
      <c r="EE54" s="27" t="n"/>
      <c r="EF54" s="27" t="n"/>
      <c r="EG54" s="27" t="n"/>
      <c r="EH54" s="27" t="n"/>
      <c r="EI54" s="27" t="n"/>
      <c r="EJ54" s="27" t="n"/>
      <c r="EK54" s="27" t="n"/>
      <c r="EL54" s="27" t="n"/>
      <c r="EM54" s="27" t="n"/>
      <c r="EN54" s="27" t="n"/>
      <c r="EO54" s="27" t="n"/>
      <c r="EP54" s="27" t="n"/>
      <c r="EQ54" s="27" t="n"/>
      <c r="ER54" s="27" t="n"/>
      <c r="ES54" s="27" t="n"/>
      <c r="ET54" s="27" t="n"/>
      <c r="EU54" s="27" t="n"/>
      <c r="EV54" s="27" t="n"/>
      <c r="EW54" s="27" t="n"/>
      <c r="EX54" s="27" t="n"/>
      <c r="EY54" s="27" t="n"/>
      <c r="EZ54" s="27" t="n"/>
      <c r="FA54" s="27" t="n"/>
      <c r="FB54" s="27" t="n"/>
      <c r="FC54" s="27" t="n"/>
      <c r="FD54" s="27" t="n"/>
      <c r="FE54" s="27" t="n"/>
      <c r="FF54" s="27" t="n"/>
      <c r="FG54" s="27" t="n"/>
      <c r="FH54" s="27" t="n"/>
      <c r="FI54" s="27" t="n"/>
      <c r="FJ54" s="27" t="n"/>
      <c r="FK54" s="27" t="n"/>
      <c r="FL54" s="27" t="n"/>
      <c r="FM54" s="27" t="n"/>
      <c r="FN54" s="27" t="n"/>
      <c r="FO54" s="27" t="n"/>
      <c r="FP54" s="27" t="n"/>
      <c r="FQ54" s="27" t="n"/>
      <c r="FR54" s="27" t="n"/>
      <c r="FS54" s="27" t="n"/>
      <c r="FT54" s="27" t="n"/>
      <c r="FU54" s="27" t="n"/>
      <c r="FV54" s="27" t="n"/>
      <c r="FW54" s="27" t="n"/>
      <c r="FX54" s="27" t="n"/>
      <c r="FY54" s="27" t="n"/>
      <c r="FZ54" s="27" t="n"/>
      <c r="GA54" s="27" t="n"/>
      <c r="GB54" s="27" t="n"/>
      <c r="GC54" s="27" t="n"/>
      <c r="GD54" s="27" t="n"/>
      <c r="GE54" s="27" t="n"/>
      <c r="GF54" s="27" t="n"/>
      <c r="GG54" s="27" t="n"/>
      <c r="GH54" s="27" t="n"/>
      <c r="GI54" s="27" t="n"/>
      <c r="GJ54" s="27" t="n"/>
      <c r="GK54" s="27" t="n"/>
      <c r="GL54" s="27" t="n"/>
      <c r="GM54" s="27" t="n"/>
      <c r="GN54" s="27" t="n"/>
      <c r="GO54" s="27" t="n"/>
      <c r="GP54" s="27" t="n"/>
      <c r="GQ54" s="27" t="n"/>
      <c r="GR54" s="27" t="n"/>
      <c r="GS54" s="27" t="n"/>
      <c r="GT54" s="27" t="n"/>
      <c r="GU54" s="27" t="n"/>
      <c r="GV54" s="27" t="n"/>
      <c r="GW54" s="27" t="n"/>
      <c r="GX54" s="27" t="n"/>
      <c r="GY54" s="27" t="n"/>
      <c r="GZ54" s="27" t="n"/>
      <c r="HA54" s="27" t="n"/>
      <c r="HB54" s="27" t="n"/>
      <c r="HC54" s="27" t="n"/>
      <c r="HD54" s="27" t="n"/>
      <c r="HE54" s="27" t="n"/>
      <c r="HF54" s="27" t="n"/>
      <c r="HG54" s="27" t="n"/>
      <c r="HH54" s="27" t="n"/>
      <c r="HI54" s="27" t="n"/>
      <c r="HJ54" s="27" t="n"/>
      <c r="HK54" s="27" t="n"/>
      <c r="HL54" s="27" t="n"/>
      <c r="HM54" s="27" t="n"/>
      <c r="HN54" s="27" t="n"/>
      <c r="HO54" s="27" t="n"/>
      <c r="HP54" s="27" t="n"/>
      <c r="HQ54" s="27" t="n"/>
      <c r="HR54" s="27" t="n"/>
      <c r="HS54" s="27" t="n"/>
      <c r="HT54" s="27" t="n"/>
      <c r="HU54" s="27" t="n"/>
      <c r="HV54" s="27" t="n"/>
      <c r="HW54" s="27" t="n"/>
      <c r="HX54" s="27" t="n"/>
      <c r="HY54" s="27" t="n"/>
      <c r="HZ54" s="27" t="n"/>
      <c r="IA54" s="27" t="n"/>
      <c r="IB54" s="27" t="n"/>
      <c r="IC54" s="27" t="n"/>
      <c r="ID54" s="27" t="n"/>
      <c r="IE54" s="27" t="n"/>
      <c r="IF54" s="27" t="n"/>
      <c r="IG54" s="27" t="n"/>
      <c r="IH54" s="27" t="n"/>
      <c r="II54" s="27" t="n"/>
      <c r="IJ54" s="27" t="n"/>
      <c r="IK54" s="27" t="n"/>
      <c r="IL54" s="27" t="n"/>
      <c r="IM54" s="27" t="n"/>
      <c r="IN54" s="27" t="n"/>
      <c r="IO54" s="27" t="n"/>
      <c r="IP54" s="27" t="n"/>
      <c r="IQ54" s="27" t="n"/>
      <c r="IR54" s="27" t="n"/>
      <c r="IS54" s="27" t="n"/>
      <c r="IT54" s="27" t="n"/>
      <c r="IU54" s="27" t="n"/>
      <c r="IV54" s="27" t="n"/>
    </row>
    <row r="55" ht="13" customHeight="1" s="195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  <c r="AA55" s="27" t="n"/>
      <c r="AB55" s="27" t="n"/>
      <c r="AC55" s="27" t="n"/>
      <c r="AD55" s="27" t="n"/>
      <c r="AE55" s="27" t="n"/>
      <c r="AF55" s="27" t="n"/>
      <c r="AG55" s="27" t="n"/>
      <c r="AH55" s="27" t="n"/>
      <c r="AI55" s="27" t="n"/>
      <c r="AJ55" s="27" t="n"/>
      <c r="AK55" s="27" t="n"/>
      <c r="AL55" s="27" t="n"/>
      <c r="AM55" s="27" t="n"/>
      <c r="AN55" s="27" t="n"/>
      <c r="AO55" s="27" t="n"/>
      <c r="AP55" s="27" t="n"/>
      <c r="AQ55" s="27" t="n"/>
      <c r="AR55" s="27" t="n"/>
      <c r="AS55" s="27" t="n"/>
      <c r="AT55" s="27" t="n"/>
      <c r="AU55" s="27" t="n"/>
      <c r="AV55" s="27" t="n"/>
      <c r="AW55" s="27" t="n"/>
      <c r="AX55" s="27" t="n"/>
      <c r="AY55" s="27" t="n"/>
      <c r="AZ55" s="27" t="n"/>
      <c r="BA55" s="27" t="n"/>
      <c r="BB55" s="27" t="n"/>
      <c r="BC55" s="27" t="n"/>
      <c r="BD55" s="27" t="n"/>
      <c r="BE55" s="27" t="n"/>
      <c r="BF55" s="27" t="n"/>
      <c r="BG55" s="27" t="n"/>
      <c r="BH55" s="27" t="n"/>
      <c r="BI55" s="27" t="n"/>
      <c r="BJ55" s="27" t="n"/>
      <c r="BK55" s="27" t="n"/>
      <c r="BL55" s="27" t="n"/>
      <c r="BM55" s="27" t="n"/>
      <c r="BN55" s="27" t="n"/>
      <c r="BO55" s="27" t="n"/>
      <c r="BP55" s="27" t="n"/>
      <c r="BQ55" s="27" t="n"/>
      <c r="BR55" s="27" t="n"/>
      <c r="BS55" s="27" t="n"/>
      <c r="BT55" s="27" t="n"/>
      <c r="BU55" s="27" t="n"/>
      <c r="BV55" s="27" t="n"/>
      <c r="BW55" s="27" t="n"/>
      <c r="BX55" s="27" t="n"/>
      <c r="BY55" s="27" t="n"/>
      <c r="BZ55" s="27" t="n"/>
      <c r="CA55" s="27" t="n"/>
      <c r="CB55" s="27" t="n"/>
      <c r="CC55" s="27" t="n"/>
      <c r="CD55" s="27" t="n"/>
      <c r="CE55" s="27" t="n"/>
      <c r="CF55" s="27" t="n"/>
      <c r="CG55" s="27" t="n"/>
      <c r="CH55" s="27" t="n"/>
      <c r="CI55" s="27" t="n"/>
      <c r="CJ55" s="27" t="n"/>
      <c r="CK55" s="27" t="n"/>
      <c r="CL55" s="27" t="n"/>
      <c r="CM55" s="27" t="n"/>
      <c r="CN55" s="27" t="n"/>
      <c r="CO55" s="27" t="n"/>
      <c r="CP55" s="27" t="n"/>
      <c r="CQ55" s="27" t="n"/>
      <c r="CR55" s="27" t="n"/>
      <c r="CS55" s="27" t="n"/>
      <c r="CT55" s="27" t="n"/>
      <c r="CU55" s="27" t="n"/>
      <c r="CV55" s="27" t="n"/>
      <c r="CW55" s="27" t="n"/>
      <c r="CX55" s="27" t="n"/>
      <c r="CY55" s="27" t="n"/>
      <c r="CZ55" s="27" t="n"/>
      <c r="DA55" s="27" t="n"/>
      <c r="DB55" s="27" t="n"/>
      <c r="DC55" s="27" t="n"/>
      <c r="DD55" s="27" t="n"/>
      <c r="DE55" s="27" t="n"/>
      <c r="DF55" s="27" t="n"/>
      <c r="DG55" s="27" t="n"/>
      <c r="DH55" s="27" t="n"/>
      <c r="DI55" s="27" t="n"/>
      <c r="DJ55" s="27" t="n"/>
      <c r="DK55" s="27" t="n"/>
      <c r="DL55" s="27" t="n"/>
      <c r="DM55" s="27" t="n"/>
      <c r="DN55" s="27" t="n"/>
      <c r="DO55" s="27" t="n"/>
      <c r="DP55" s="27" t="n"/>
      <c r="DQ55" s="27" t="n"/>
      <c r="DR55" s="27" t="n"/>
      <c r="DS55" s="27" t="n"/>
      <c r="DT55" s="27" t="n"/>
      <c r="DU55" s="27" t="n"/>
      <c r="DV55" s="27" t="n"/>
      <c r="DW55" s="27" t="n"/>
      <c r="DX55" s="27" t="n"/>
      <c r="DY55" s="27" t="n"/>
      <c r="DZ55" s="27" t="n"/>
      <c r="EA55" s="27" t="n"/>
      <c r="EB55" s="27" t="n"/>
      <c r="EC55" s="27" t="n"/>
      <c r="ED55" s="27" t="n"/>
      <c r="EE55" s="27" t="n"/>
      <c r="EF55" s="27" t="n"/>
      <c r="EG55" s="27" t="n"/>
      <c r="EH55" s="27" t="n"/>
      <c r="EI55" s="27" t="n"/>
      <c r="EJ55" s="27" t="n"/>
      <c r="EK55" s="27" t="n"/>
      <c r="EL55" s="27" t="n"/>
      <c r="EM55" s="27" t="n"/>
      <c r="EN55" s="27" t="n"/>
      <c r="EO55" s="27" t="n"/>
      <c r="EP55" s="27" t="n"/>
      <c r="EQ55" s="27" t="n"/>
      <c r="ER55" s="27" t="n"/>
      <c r="ES55" s="27" t="n"/>
      <c r="ET55" s="27" t="n"/>
      <c r="EU55" s="27" t="n"/>
      <c r="EV55" s="27" t="n"/>
      <c r="EW55" s="27" t="n"/>
      <c r="EX55" s="27" t="n"/>
      <c r="EY55" s="27" t="n"/>
      <c r="EZ55" s="27" t="n"/>
      <c r="FA55" s="27" t="n"/>
      <c r="FB55" s="27" t="n"/>
      <c r="FC55" s="27" t="n"/>
      <c r="FD55" s="27" t="n"/>
      <c r="FE55" s="27" t="n"/>
      <c r="FF55" s="27" t="n"/>
      <c r="FG55" s="27" t="n"/>
      <c r="FH55" s="27" t="n"/>
      <c r="FI55" s="27" t="n"/>
      <c r="FJ55" s="27" t="n"/>
      <c r="FK55" s="27" t="n"/>
      <c r="FL55" s="27" t="n"/>
      <c r="FM55" s="27" t="n"/>
      <c r="FN55" s="27" t="n"/>
      <c r="FO55" s="27" t="n"/>
      <c r="FP55" s="27" t="n"/>
      <c r="FQ55" s="27" t="n"/>
      <c r="FR55" s="27" t="n"/>
      <c r="FS55" s="27" t="n"/>
      <c r="FT55" s="27" t="n"/>
      <c r="FU55" s="27" t="n"/>
      <c r="FV55" s="27" t="n"/>
      <c r="FW55" s="27" t="n"/>
      <c r="FX55" s="27" t="n"/>
      <c r="FY55" s="27" t="n"/>
      <c r="FZ55" s="27" t="n"/>
      <c r="GA55" s="27" t="n"/>
      <c r="GB55" s="27" t="n"/>
      <c r="GC55" s="27" t="n"/>
      <c r="GD55" s="27" t="n"/>
      <c r="GE55" s="27" t="n"/>
      <c r="GF55" s="27" t="n"/>
      <c r="GG55" s="27" t="n"/>
      <c r="GH55" s="27" t="n"/>
      <c r="GI55" s="27" t="n"/>
      <c r="GJ55" s="27" t="n"/>
      <c r="GK55" s="27" t="n"/>
      <c r="GL55" s="27" t="n"/>
      <c r="GM55" s="27" t="n"/>
      <c r="GN55" s="27" t="n"/>
      <c r="GO55" s="27" t="n"/>
      <c r="GP55" s="27" t="n"/>
      <c r="GQ55" s="27" t="n"/>
      <c r="GR55" s="27" t="n"/>
      <c r="GS55" s="27" t="n"/>
      <c r="GT55" s="27" t="n"/>
      <c r="GU55" s="27" t="n"/>
      <c r="GV55" s="27" t="n"/>
      <c r="GW55" s="27" t="n"/>
      <c r="GX55" s="27" t="n"/>
      <c r="GY55" s="27" t="n"/>
      <c r="GZ55" s="27" t="n"/>
      <c r="HA55" s="27" t="n"/>
      <c r="HB55" s="27" t="n"/>
      <c r="HC55" s="27" t="n"/>
      <c r="HD55" s="27" t="n"/>
      <c r="HE55" s="27" t="n"/>
      <c r="HF55" s="27" t="n"/>
      <c r="HG55" s="27" t="n"/>
      <c r="HH55" s="27" t="n"/>
      <c r="HI55" s="27" t="n"/>
      <c r="HJ55" s="27" t="n"/>
      <c r="HK55" s="27" t="n"/>
      <c r="HL55" s="27" t="n"/>
      <c r="HM55" s="27" t="n"/>
      <c r="HN55" s="27" t="n"/>
      <c r="HO55" s="27" t="n"/>
      <c r="HP55" s="27" t="n"/>
      <c r="HQ55" s="27" t="n"/>
      <c r="HR55" s="27" t="n"/>
      <c r="HS55" s="27" t="n"/>
      <c r="HT55" s="27" t="n"/>
      <c r="HU55" s="27" t="n"/>
      <c r="HV55" s="27" t="n"/>
      <c r="HW55" s="27" t="n"/>
      <c r="HX55" s="27" t="n"/>
      <c r="HY55" s="27" t="n"/>
      <c r="HZ55" s="27" t="n"/>
      <c r="IA55" s="27" t="n"/>
      <c r="IB55" s="27" t="n"/>
      <c r="IC55" s="27" t="n"/>
      <c r="ID55" s="27" t="n"/>
      <c r="IE55" s="27" t="n"/>
      <c r="IF55" s="27" t="n"/>
      <c r="IG55" s="27" t="n"/>
      <c r="IH55" s="27" t="n"/>
      <c r="II55" s="27" t="n"/>
      <c r="IJ55" s="27" t="n"/>
      <c r="IK55" s="27" t="n"/>
      <c r="IL55" s="27" t="n"/>
      <c r="IM55" s="27" t="n"/>
      <c r="IN55" s="27" t="n"/>
      <c r="IO55" s="27" t="n"/>
      <c r="IP55" s="27" t="n"/>
      <c r="IQ55" s="27" t="n"/>
      <c r="IR55" s="27" t="n"/>
      <c r="IS55" s="27" t="n"/>
      <c r="IT55" s="27" t="n"/>
      <c r="IU55" s="27" t="n"/>
      <c r="IV55" s="27" t="n"/>
    </row>
    <row r="56" ht="13" customHeight="1" s="195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  <c r="AA56" s="27" t="n"/>
      <c r="AB56" s="27" t="n"/>
      <c r="AC56" s="27" t="n"/>
      <c r="AD56" s="27" t="n"/>
      <c r="AE56" s="27" t="n"/>
      <c r="AF56" s="27" t="n"/>
      <c r="AG56" s="27" t="n"/>
      <c r="AH56" s="27" t="n"/>
      <c r="AI56" s="27" t="n"/>
      <c r="AJ56" s="27" t="n"/>
      <c r="AK56" s="27" t="n"/>
      <c r="AL56" s="27" t="n"/>
      <c r="AM56" s="27" t="n"/>
      <c r="AN56" s="27" t="n"/>
      <c r="AO56" s="27" t="n"/>
      <c r="AP56" s="27" t="n"/>
      <c r="AQ56" s="27" t="n"/>
      <c r="AR56" s="27" t="n"/>
      <c r="AS56" s="27" t="n"/>
      <c r="AT56" s="27" t="n"/>
      <c r="AU56" s="27" t="n"/>
      <c r="AV56" s="27" t="n"/>
      <c r="AW56" s="27" t="n"/>
      <c r="AX56" s="27" t="n"/>
      <c r="AY56" s="27" t="n"/>
      <c r="AZ56" s="27" t="n"/>
      <c r="BA56" s="27" t="n"/>
      <c r="BB56" s="27" t="n"/>
      <c r="BC56" s="27" t="n"/>
      <c r="BD56" s="27" t="n"/>
      <c r="BE56" s="27" t="n"/>
      <c r="BF56" s="27" t="n"/>
      <c r="BG56" s="27" t="n"/>
      <c r="BH56" s="27" t="n"/>
      <c r="BI56" s="27" t="n"/>
      <c r="BJ56" s="27" t="n"/>
      <c r="BK56" s="27" t="n"/>
      <c r="BL56" s="27" t="n"/>
      <c r="BM56" s="27" t="n"/>
      <c r="BN56" s="27" t="n"/>
      <c r="BO56" s="27" t="n"/>
      <c r="BP56" s="27" t="n"/>
      <c r="BQ56" s="27" t="n"/>
      <c r="BR56" s="27" t="n"/>
      <c r="BS56" s="27" t="n"/>
      <c r="BT56" s="27" t="n"/>
      <c r="BU56" s="27" t="n"/>
      <c r="BV56" s="27" t="n"/>
      <c r="BW56" s="27" t="n"/>
      <c r="BX56" s="27" t="n"/>
      <c r="BY56" s="27" t="n"/>
      <c r="BZ56" s="27" t="n"/>
      <c r="CA56" s="27" t="n"/>
      <c r="CB56" s="27" t="n"/>
      <c r="CC56" s="27" t="n"/>
      <c r="CD56" s="27" t="n"/>
      <c r="CE56" s="27" t="n"/>
      <c r="CF56" s="27" t="n"/>
      <c r="CG56" s="27" t="n"/>
      <c r="CH56" s="27" t="n"/>
      <c r="CI56" s="27" t="n"/>
      <c r="CJ56" s="27" t="n"/>
      <c r="CK56" s="27" t="n"/>
      <c r="CL56" s="27" t="n"/>
      <c r="CM56" s="27" t="n"/>
      <c r="CN56" s="27" t="n"/>
      <c r="CO56" s="27" t="n"/>
      <c r="CP56" s="27" t="n"/>
      <c r="CQ56" s="27" t="n"/>
      <c r="CR56" s="27" t="n"/>
      <c r="CS56" s="27" t="n"/>
      <c r="CT56" s="27" t="n"/>
      <c r="CU56" s="27" t="n"/>
      <c r="CV56" s="27" t="n"/>
      <c r="CW56" s="27" t="n"/>
      <c r="CX56" s="27" t="n"/>
      <c r="CY56" s="27" t="n"/>
      <c r="CZ56" s="27" t="n"/>
      <c r="DA56" s="27" t="n"/>
      <c r="DB56" s="27" t="n"/>
      <c r="DC56" s="27" t="n"/>
      <c r="DD56" s="27" t="n"/>
      <c r="DE56" s="27" t="n"/>
      <c r="DF56" s="27" t="n"/>
      <c r="DG56" s="27" t="n"/>
      <c r="DH56" s="27" t="n"/>
      <c r="DI56" s="27" t="n"/>
      <c r="DJ56" s="27" t="n"/>
      <c r="DK56" s="27" t="n"/>
      <c r="DL56" s="27" t="n"/>
      <c r="DM56" s="27" t="n"/>
      <c r="DN56" s="27" t="n"/>
      <c r="DO56" s="27" t="n"/>
      <c r="DP56" s="27" t="n"/>
      <c r="DQ56" s="27" t="n"/>
      <c r="DR56" s="27" t="n"/>
      <c r="DS56" s="27" t="n"/>
      <c r="DT56" s="27" t="n"/>
      <c r="DU56" s="27" t="n"/>
      <c r="DV56" s="27" t="n"/>
      <c r="DW56" s="27" t="n"/>
      <c r="DX56" s="27" t="n"/>
      <c r="DY56" s="27" t="n"/>
      <c r="DZ56" s="27" t="n"/>
      <c r="EA56" s="27" t="n"/>
      <c r="EB56" s="27" t="n"/>
      <c r="EC56" s="27" t="n"/>
      <c r="ED56" s="27" t="n"/>
      <c r="EE56" s="27" t="n"/>
      <c r="EF56" s="27" t="n"/>
      <c r="EG56" s="27" t="n"/>
      <c r="EH56" s="27" t="n"/>
      <c r="EI56" s="27" t="n"/>
      <c r="EJ56" s="27" t="n"/>
      <c r="EK56" s="27" t="n"/>
      <c r="EL56" s="27" t="n"/>
      <c r="EM56" s="27" t="n"/>
      <c r="EN56" s="27" t="n"/>
      <c r="EO56" s="27" t="n"/>
      <c r="EP56" s="27" t="n"/>
      <c r="EQ56" s="27" t="n"/>
      <c r="ER56" s="27" t="n"/>
      <c r="ES56" s="27" t="n"/>
      <c r="ET56" s="27" t="n"/>
      <c r="EU56" s="27" t="n"/>
      <c r="EV56" s="27" t="n"/>
      <c r="EW56" s="27" t="n"/>
      <c r="EX56" s="27" t="n"/>
      <c r="EY56" s="27" t="n"/>
      <c r="EZ56" s="27" t="n"/>
      <c r="FA56" s="27" t="n"/>
      <c r="FB56" s="27" t="n"/>
      <c r="FC56" s="27" t="n"/>
      <c r="FD56" s="27" t="n"/>
      <c r="FE56" s="27" t="n"/>
      <c r="FF56" s="27" t="n"/>
      <c r="FG56" s="27" t="n"/>
      <c r="FH56" s="27" t="n"/>
      <c r="FI56" s="27" t="n"/>
      <c r="FJ56" s="27" t="n"/>
      <c r="FK56" s="27" t="n"/>
      <c r="FL56" s="27" t="n"/>
      <c r="FM56" s="27" t="n"/>
      <c r="FN56" s="27" t="n"/>
      <c r="FO56" s="27" t="n"/>
      <c r="FP56" s="27" t="n"/>
      <c r="FQ56" s="27" t="n"/>
      <c r="FR56" s="27" t="n"/>
      <c r="FS56" s="27" t="n"/>
      <c r="FT56" s="27" t="n"/>
      <c r="FU56" s="27" t="n"/>
      <c r="FV56" s="27" t="n"/>
      <c r="FW56" s="27" t="n"/>
      <c r="FX56" s="27" t="n"/>
      <c r="FY56" s="27" t="n"/>
      <c r="FZ56" s="27" t="n"/>
      <c r="GA56" s="27" t="n"/>
      <c r="GB56" s="27" t="n"/>
      <c r="GC56" s="27" t="n"/>
      <c r="GD56" s="27" t="n"/>
      <c r="GE56" s="27" t="n"/>
      <c r="GF56" s="27" t="n"/>
      <c r="GG56" s="27" t="n"/>
      <c r="GH56" s="27" t="n"/>
      <c r="GI56" s="27" t="n"/>
      <c r="GJ56" s="27" t="n"/>
      <c r="GK56" s="27" t="n"/>
      <c r="GL56" s="27" t="n"/>
      <c r="GM56" s="27" t="n"/>
      <c r="GN56" s="27" t="n"/>
      <c r="GO56" s="27" t="n"/>
      <c r="GP56" s="27" t="n"/>
      <c r="GQ56" s="27" t="n"/>
      <c r="GR56" s="27" t="n"/>
      <c r="GS56" s="27" t="n"/>
      <c r="GT56" s="27" t="n"/>
      <c r="GU56" s="27" t="n"/>
      <c r="GV56" s="27" t="n"/>
      <c r="GW56" s="27" t="n"/>
      <c r="GX56" s="27" t="n"/>
      <c r="GY56" s="27" t="n"/>
      <c r="GZ56" s="27" t="n"/>
      <c r="HA56" s="27" t="n"/>
      <c r="HB56" s="27" t="n"/>
      <c r="HC56" s="27" t="n"/>
      <c r="HD56" s="27" t="n"/>
      <c r="HE56" s="27" t="n"/>
      <c r="HF56" s="27" t="n"/>
      <c r="HG56" s="27" t="n"/>
      <c r="HH56" s="27" t="n"/>
      <c r="HI56" s="27" t="n"/>
      <c r="HJ56" s="27" t="n"/>
      <c r="HK56" s="27" t="n"/>
      <c r="HL56" s="27" t="n"/>
      <c r="HM56" s="27" t="n"/>
      <c r="HN56" s="27" t="n"/>
      <c r="HO56" s="27" t="n"/>
      <c r="HP56" s="27" t="n"/>
      <c r="HQ56" s="27" t="n"/>
      <c r="HR56" s="27" t="n"/>
      <c r="HS56" s="27" t="n"/>
      <c r="HT56" s="27" t="n"/>
      <c r="HU56" s="27" t="n"/>
      <c r="HV56" s="27" t="n"/>
      <c r="HW56" s="27" t="n"/>
      <c r="HX56" s="27" t="n"/>
      <c r="HY56" s="27" t="n"/>
      <c r="HZ56" s="27" t="n"/>
      <c r="IA56" s="27" t="n"/>
      <c r="IB56" s="27" t="n"/>
      <c r="IC56" s="27" t="n"/>
      <c r="ID56" s="27" t="n"/>
      <c r="IE56" s="27" t="n"/>
      <c r="IF56" s="27" t="n"/>
      <c r="IG56" s="27" t="n"/>
      <c r="IH56" s="27" t="n"/>
      <c r="II56" s="27" t="n"/>
      <c r="IJ56" s="27" t="n"/>
      <c r="IK56" s="27" t="n"/>
      <c r="IL56" s="27" t="n"/>
      <c r="IM56" s="27" t="n"/>
      <c r="IN56" s="27" t="n"/>
      <c r="IO56" s="27" t="n"/>
      <c r="IP56" s="27" t="n"/>
      <c r="IQ56" s="27" t="n"/>
      <c r="IR56" s="27" t="n"/>
      <c r="IS56" s="27" t="n"/>
      <c r="IT56" s="27" t="n"/>
      <c r="IU56" s="27" t="n"/>
      <c r="IV56" s="27" t="n"/>
    </row>
    <row r="57" ht="13" customHeight="1" s="195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  <c r="AA57" s="27" t="n"/>
      <c r="AB57" s="27" t="n"/>
      <c r="AC57" s="27" t="n"/>
      <c r="AD57" s="27" t="n"/>
      <c r="AE57" s="27" t="n"/>
      <c r="AF57" s="27" t="n"/>
      <c r="AG57" s="27" t="n"/>
      <c r="AH57" s="27" t="n"/>
      <c r="AI57" s="27" t="n"/>
      <c r="AJ57" s="27" t="n"/>
      <c r="AK57" s="27" t="n"/>
      <c r="AL57" s="27" t="n"/>
      <c r="AM57" s="27" t="n"/>
      <c r="AN57" s="27" t="n"/>
      <c r="AO57" s="27" t="n"/>
      <c r="AP57" s="27" t="n"/>
      <c r="AQ57" s="27" t="n"/>
      <c r="AR57" s="27" t="n"/>
      <c r="AS57" s="27" t="n"/>
      <c r="AT57" s="27" t="n"/>
      <c r="AU57" s="27" t="n"/>
      <c r="AV57" s="27" t="n"/>
      <c r="AW57" s="27" t="n"/>
      <c r="AX57" s="27" t="n"/>
      <c r="AY57" s="27" t="n"/>
      <c r="AZ57" s="27" t="n"/>
      <c r="BA57" s="27" t="n"/>
      <c r="BB57" s="27" t="n"/>
      <c r="BC57" s="27" t="n"/>
      <c r="BD57" s="27" t="n"/>
      <c r="BE57" s="27" t="n"/>
      <c r="BF57" s="27" t="n"/>
      <c r="BG57" s="27" t="n"/>
      <c r="BH57" s="27" t="n"/>
      <c r="BI57" s="27" t="n"/>
      <c r="BJ57" s="27" t="n"/>
      <c r="BK57" s="27" t="n"/>
      <c r="BL57" s="27" t="n"/>
      <c r="BM57" s="27" t="n"/>
      <c r="BN57" s="27" t="n"/>
      <c r="BO57" s="27" t="n"/>
      <c r="BP57" s="27" t="n"/>
      <c r="BQ57" s="27" t="n"/>
      <c r="BR57" s="27" t="n"/>
      <c r="BS57" s="27" t="n"/>
      <c r="BT57" s="27" t="n"/>
      <c r="BU57" s="27" t="n"/>
      <c r="BV57" s="27" t="n"/>
      <c r="BW57" s="27" t="n"/>
      <c r="BX57" s="27" t="n"/>
      <c r="BY57" s="27" t="n"/>
      <c r="BZ57" s="27" t="n"/>
      <c r="CA57" s="27" t="n"/>
      <c r="CB57" s="27" t="n"/>
      <c r="CC57" s="27" t="n"/>
      <c r="CD57" s="27" t="n"/>
      <c r="CE57" s="27" t="n"/>
      <c r="CF57" s="27" t="n"/>
      <c r="CG57" s="27" t="n"/>
      <c r="CH57" s="27" t="n"/>
      <c r="CI57" s="27" t="n"/>
      <c r="CJ57" s="27" t="n"/>
      <c r="CK57" s="27" t="n"/>
      <c r="CL57" s="27" t="n"/>
      <c r="CM57" s="27" t="n"/>
      <c r="CN57" s="27" t="n"/>
      <c r="CO57" s="27" t="n"/>
      <c r="CP57" s="27" t="n"/>
      <c r="CQ57" s="27" t="n"/>
      <c r="CR57" s="27" t="n"/>
      <c r="CS57" s="27" t="n"/>
      <c r="CT57" s="27" t="n"/>
      <c r="CU57" s="27" t="n"/>
      <c r="CV57" s="27" t="n"/>
      <c r="CW57" s="27" t="n"/>
      <c r="CX57" s="27" t="n"/>
      <c r="CY57" s="27" t="n"/>
      <c r="CZ57" s="27" t="n"/>
      <c r="DA57" s="27" t="n"/>
      <c r="DB57" s="27" t="n"/>
      <c r="DC57" s="27" t="n"/>
      <c r="DD57" s="27" t="n"/>
      <c r="DE57" s="27" t="n"/>
      <c r="DF57" s="27" t="n"/>
      <c r="DG57" s="27" t="n"/>
      <c r="DH57" s="27" t="n"/>
      <c r="DI57" s="27" t="n"/>
      <c r="DJ57" s="27" t="n"/>
      <c r="DK57" s="27" t="n"/>
      <c r="DL57" s="27" t="n"/>
      <c r="DM57" s="27" t="n"/>
      <c r="DN57" s="27" t="n"/>
      <c r="DO57" s="27" t="n"/>
      <c r="DP57" s="27" t="n"/>
      <c r="DQ57" s="27" t="n"/>
      <c r="DR57" s="27" t="n"/>
      <c r="DS57" s="27" t="n"/>
      <c r="DT57" s="27" t="n"/>
      <c r="DU57" s="27" t="n"/>
      <c r="DV57" s="27" t="n"/>
      <c r="DW57" s="27" t="n"/>
      <c r="DX57" s="27" t="n"/>
      <c r="DY57" s="27" t="n"/>
      <c r="DZ57" s="27" t="n"/>
      <c r="EA57" s="27" t="n"/>
      <c r="EB57" s="27" t="n"/>
      <c r="EC57" s="27" t="n"/>
      <c r="ED57" s="27" t="n"/>
      <c r="EE57" s="27" t="n"/>
      <c r="EF57" s="27" t="n"/>
      <c r="EG57" s="27" t="n"/>
      <c r="EH57" s="27" t="n"/>
      <c r="EI57" s="27" t="n"/>
      <c r="EJ57" s="27" t="n"/>
      <c r="EK57" s="27" t="n"/>
      <c r="EL57" s="27" t="n"/>
      <c r="EM57" s="27" t="n"/>
      <c r="EN57" s="27" t="n"/>
      <c r="EO57" s="27" t="n"/>
      <c r="EP57" s="27" t="n"/>
      <c r="EQ57" s="27" t="n"/>
      <c r="ER57" s="27" t="n"/>
      <c r="ES57" s="27" t="n"/>
      <c r="ET57" s="27" t="n"/>
      <c r="EU57" s="27" t="n"/>
      <c r="EV57" s="27" t="n"/>
      <c r="EW57" s="27" t="n"/>
      <c r="EX57" s="27" t="n"/>
      <c r="EY57" s="27" t="n"/>
      <c r="EZ57" s="27" t="n"/>
      <c r="FA57" s="27" t="n"/>
      <c r="FB57" s="27" t="n"/>
      <c r="FC57" s="27" t="n"/>
      <c r="FD57" s="27" t="n"/>
      <c r="FE57" s="27" t="n"/>
      <c r="FF57" s="27" t="n"/>
      <c r="FG57" s="27" t="n"/>
      <c r="FH57" s="27" t="n"/>
      <c r="FI57" s="27" t="n"/>
      <c r="FJ57" s="27" t="n"/>
      <c r="FK57" s="27" t="n"/>
      <c r="FL57" s="27" t="n"/>
      <c r="FM57" s="27" t="n"/>
      <c r="FN57" s="27" t="n"/>
      <c r="FO57" s="27" t="n"/>
      <c r="FP57" s="27" t="n"/>
      <c r="FQ57" s="27" t="n"/>
      <c r="FR57" s="27" t="n"/>
      <c r="FS57" s="27" t="n"/>
      <c r="FT57" s="27" t="n"/>
      <c r="FU57" s="27" t="n"/>
      <c r="FV57" s="27" t="n"/>
      <c r="FW57" s="27" t="n"/>
      <c r="FX57" s="27" t="n"/>
      <c r="FY57" s="27" t="n"/>
      <c r="FZ57" s="27" t="n"/>
      <c r="GA57" s="27" t="n"/>
      <c r="GB57" s="27" t="n"/>
      <c r="GC57" s="27" t="n"/>
      <c r="GD57" s="27" t="n"/>
      <c r="GE57" s="27" t="n"/>
      <c r="GF57" s="27" t="n"/>
      <c r="GG57" s="27" t="n"/>
      <c r="GH57" s="27" t="n"/>
      <c r="GI57" s="27" t="n"/>
      <c r="GJ57" s="27" t="n"/>
      <c r="GK57" s="27" t="n"/>
      <c r="GL57" s="27" t="n"/>
      <c r="GM57" s="27" t="n"/>
      <c r="GN57" s="27" t="n"/>
      <c r="GO57" s="27" t="n"/>
      <c r="GP57" s="27" t="n"/>
      <c r="GQ57" s="27" t="n"/>
      <c r="GR57" s="27" t="n"/>
      <c r="GS57" s="27" t="n"/>
      <c r="GT57" s="27" t="n"/>
      <c r="GU57" s="27" t="n"/>
      <c r="GV57" s="27" t="n"/>
      <c r="GW57" s="27" t="n"/>
      <c r="GX57" s="27" t="n"/>
      <c r="GY57" s="27" t="n"/>
      <c r="GZ57" s="27" t="n"/>
      <c r="HA57" s="27" t="n"/>
      <c r="HB57" s="27" t="n"/>
      <c r="HC57" s="27" t="n"/>
      <c r="HD57" s="27" t="n"/>
      <c r="HE57" s="27" t="n"/>
      <c r="HF57" s="27" t="n"/>
      <c r="HG57" s="27" t="n"/>
      <c r="HH57" s="27" t="n"/>
      <c r="HI57" s="27" t="n"/>
      <c r="HJ57" s="27" t="n"/>
      <c r="HK57" s="27" t="n"/>
      <c r="HL57" s="27" t="n"/>
      <c r="HM57" s="27" t="n"/>
      <c r="HN57" s="27" t="n"/>
      <c r="HO57" s="27" t="n"/>
      <c r="HP57" s="27" t="n"/>
      <c r="HQ57" s="27" t="n"/>
      <c r="HR57" s="27" t="n"/>
      <c r="HS57" s="27" t="n"/>
      <c r="HT57" s="27" t="n"/>
      <c r="HU57" s="27" t="n"/>
      <c r="HV57" s="27" t="n"/>
      <c r="HW57" s="27" t="n"/>
      <c r="HX57" s="27" t="n"/>
      <c r="HY57" s="27" t="n"/>
      <c r="HZ57" s="27" t="n"/>
      <c r="IA57" s="27" t="n"/>
      <c r="IB57" s="27" t="n"/>
      <c r="IC57" s="27" t="n"/>
      <c r="ID57" s="27" t="n"/>
      <c r="IE57" s="27" t="n"/>
      <c r="IF57" s="27" t="n"/>
      <c r="IG57" s="27" t="n"/>
      <c r="IH57" s="27" t="n"/>
      <c r="II57" s="27" t="n"/>
      <c r="IJ57" s="27" t="n"/>
      <c r="IK57" s="27" t="n"/>
      <c r="IL57" s="27" t="n"/>
      <c r="IM57" s="27" t="n"/>
      <c r="IN57" s="27" t="n"/>
      <c r="IO57" s="27" t="n"/>
      <c r="IP57" s="27" t="n"/>
      <c r="IQ57" s="27" t="n"/>
      <c r="IR57" s="27" t="n"/>
      <c r="IS57" s="27" t="n"/>
      <c r="IT57" s="27" t="n"/>
      <c r="IU57" s="27" t="n"/>
      <c r="IV57" s="27" t="n"/>
    </row>
    <row r="58" ht="13" customHeight="1" s="195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  <c r="AA58" s="27" t="n"/>
      <c r="AB58" s="27" t="n"/>
      <c r="AC58" s="27" t="n"/>
      <c r="AD58" s="27" t="n"/>
      <c r="AE58" s="27" t="n"/>
      <c r="AF58" s="27" t="n"/>
      <c r="AG58" s="27" t="n"/>
      <c r="AH58" s="27" t="n"/>
      <c r="AI58" s="27" t="n"/>
      <c r="AJ58" s="27" t="n"/>
      <c r="AK58" s="27" t="n"/>
      <c r="AL58" s="27" t="n"/>
      <c r="AM58" s="27" t="n"/>
      <c r="AN58" s="27" t="n"/>
      <c r="AO58" s="27" t="n"/>
      <c r="AP58" s="27" t="n"/>
      <c r="AQ58" s="27" t="n"/>
      <c r="AR58" s="27" t="n"/>
      <c r="AS58" s="27" t="n"/>
      <c r="AT58" s="27" t="n"/>
      <c r="AU58" s="27" t="n"/>
      <c r="AV58" s="27" t="n"/>
      <c r="AW58" s="27" t="n"/>
      <c r="AX58" s="27" t="n"/>
      <c r="AY58" s="27" t="n"/>
      <c r="AZ58" s="27" t="n"/>
      <c r="BA58" s="27" t="n"/>
      <c r="BB58" s="27" t="n"/>
      <c r="BC58" s="27" t="n"/>
      <c r="BD58" s="27" t="n"/>
      <c r="BE58" s="27" t="n"/>
      <c r="BF58" s="27" t="n"/>
      <c r="BG58" s="27" t="n"/>
      <c r="BH58" s="27" t="n"/>
      <c r="BI58" s="27" t="n"/>
      <c r="BJ58" s="27" t="n"/>
      <c r="BK58" s="27" t="n"/>
      <c r="BL58" s="27" t="n"/>
      <c r="BM58" s="27" t="n"/>
      <c r="BN58" s="27" t="n"/>
      <c r="BO58" s="27" t="n"/>
      <c r="BP58" s="27" t="n"/>
      <c r="BQ58" s="27" t="n"/>
      <c r="BR58" s="27" t="n"/>
      <c r="BS58" s="27" t="n"/>
      <c r="BT58" s="27" t="n"/>
      <c r="BU58" s="27" t="n"/>
      <c r="BV58" s="27" t="n"/>
      <c r="BW58" s="27" t="n"/>
      <c r="BX58" s="27" t="n"/>
      <c r="BY58" s="27" t="n"/>
      <c r="BZ58" s="27" t="n"/>
      <c r="CA58" s="27" t="n"/>
      <c r="CB58" s="27" t="n"/>
      <c r="CC58" s="27" t="n"/>
      <c r="CD58" s="27" t="n"/>
      <c r="CE58" s="27" t="n"/>
      <c r="CF58" s="27" t="n"/>
      <c r="CG58" s="27" t="n"/>
      <c r="CH58" s="27" t="n"/>
      <c r="CI58" s="27" t="n"/>
      <c r="CJ58" s="27" t="n"/>
      <c r="CK58" s="27" t="n"/>
      <c r="CL58" s="27" t="n"/>
      <c r="CM58" s="27" t="n"/>
      <c r="CN58" s="27" t="n"/>
      <c r="CO58" s="27" t="n"/>
      <c r="CP58" s="27" t="n"/>
      <c r="CQ58" s="27" t="n"/>
      <c r="CR58" s="27" t="n"/>
      <c r="CS58" s="27" t="n"/>
      <c r="CT58" s="27" t="n"/>
      <c r="CU58" s="27" t="n"/>
      <c r="CV58" s="27" t="n"/>
      <c r="CW58" s="27" t="n"/>
      <c r="CX58" s="27" t="n"/>
      <c r="CY58" s="27" t="n"/>
      <c r="CZ58" s="27" t="n"/>
      <c r="DA58" s="27" t="n"/>
      <c r="DB58" s="27" t="n"/>
      <c r="DC58" s="27" t="n"/>
      <c r="DD58" s="27" t="n"/>
      <c r="DE58" s="27" t="n"/>
      <c r="DF58" s="27" t="n"/>
      <c r="DG58" s="27" t="n"/>
      <c r="DH58" s="27" t="n"/>
      <c r="DI58" s="27" t="n"/>
      <c r="DJ58" s="27" t="n"/>
      <c r="DK58" s="27" t="n"/>
      <c r="DL58" s="27" t="n"/>
      <c r="DM58" s="27" t="n"/>
      <c r="DN58" s="27" t="n"/>
      <c r="DO58" s="27" t="n"/>
      <c r="DP58" s="27" t="n"/>
      <c r="DQ58" s="27" t="n"/>
      <c r="DR58" s="27" t="n"/>
      <c r="DS58" s="27" t="n"/>
      <c r="DT58" s="27" t="n"/>
      <c r="DU58" s="27" t="n"/>
      <c r="DV58" s="27" t="n"/>
      <c r="DW58" s="27" t="n"/>
      <c r="DX58" s="27" t="n"/>
      <c r="DY58" s="27" t="n"/>
      <c r="DZ58" s="27" t="n"/>
      <c r="EA58" s="27" t="n"/>
      <c r="EB58" s="27" t="n"/>
      <c r="EC58" s="27" t="n"/>
      <c r="ED58" s="27" t="n"/>
      <c r="EE58" s="27" t="n"/>
      <c r="EF58" s="27" t="n"/>
      <c r="EG58" s="27" t="n"/>
      <c r="EH58" s="27" t="n"/>
      <c r="EI58" s="27" t="n"/>
      <c r="EJ58" s="27" t="n"/>
      <c r="EK58" s="27" t="n"/>
      <c r="EL58" s="27" t="n"/>
      <c r="EM58" s="27" t="n"/>
      <c r="EN58" s="27" t="n"/>
      <c r="EO58" s="27" t="n"/>
      <c r="EP58" s="27" t="n"/>
      <c r="EQ58" s="27" t="n"/>
      <c r="ER58" s="27" t="n"/>
      <c r="ES58" s="27" t="n"/>
      <c r="ET58" s="27" t="n"/>
      <c r="EU58" s="27" t="n"/>
      <c r="EV58" s="27" t="n"/>
      <c r="EW58" s="27" t="n"/>
      <c r="EX58" s="27" t="n"/>
      <c r="EY58" s="27" t="n"/>
      <c r="EZ58" s="27" t="n"/>
      <c r="FA58" s="27" t="n"/>
      <c r="FB58" s="27" t="n"/>
      <c r="FC58" s="27" t="n"/>
      <c r="FD58" s="27" t="n"/>
      <c r="FE58" s="27" t="n"/>
      <c r="FF58" s="27" t="n"/>
      <c r="FG58" s="27" t="n"/>
      <c r="FH58" s="27" t="n"/>
      <c r="FI58" s="27" t="n"/>
      <c r="FJ58" s="27" t="n"/>
      <c r="FK58" s="27" t="n"/>
      <c r="FL58" s="27" t="n"/>
      <c r="FM58" s="27" t="n"/>
      <c r="FN58" s="27" t="n"/>
      <c r="FO58" s="27" t="n"/>
      <c r="FP58" s="27" t="n"/>
      <c r="FQ58" s="27" t="n"/>
      <c r="FR58" s="27" t="n"/>
      <c r="FS58" s="27" t="n"/>
      <c r="FT58" s="27" t="n"/>
      <c r="FU58" s="27" t="n"/>
      <c r="FV58" s="27" t="n"/>
      <c r="FW58" s="27" t="n"/>
      <c r="FX58" s="27" t="n"/>
      <c r="FY58" s="27" t="n"/>
      <c r="FZ58" s="27" t="n"/>
      <c r="GA58" s="27" t="n"/>
      <c r="GB58" s="27" t="n"/>
      <c r="GC58" s="27" t="n"/>
      <c r="GD58" s="27" t="n"/>
      <c r="GE58" s="27" t="n"/>
      <c r="GF58" s="27" t="n"/>
      <c r="GG58" s="27" t="n"/>
      <c r="GH58" s="27" t="n"/>
      <c r="GI58" s="27" t="n"/>
      <c r="GJ58" s="27" t="n"/>
      <c r="GK58" s="27" t="n"/>
      <c r="GL58" s="27" t="n"/>
      <c r="GM58" s="27" t="n"/>
      <c r="GN58" s="27" t="n"/>
      <c r="GO58" s="27" t="n"/>
      <c r="GP58" s="27" t="n"/>
      <c r="GQ58" s="27" t="n"/>
      <c r="GR58" s="27" t="n"/>
      <c r="GS58" s="27" t="n"/>
      <c r="GT58" s="27" t="n"/>
      <c r="GU58" s="27" t="n"/>
      <c r="GV58" s="27" t="n"/>
      <c r="GW58" s="27" t="n"/>
      <c r="GX58" s="27" t="n"/>
      <c r="GY58" s="27" t="n"/>
      <c r="GZ58" s="27" t="n"/>
      <c r="HA58" s="27" t="n"/>
      <c r="HB58" s="27" t="n"/>
      <c r="HC58" s="27" t="n"/>
      <c r="HD58" s="27" t="n"/>
      <c r="HE58" s="27" t="n"/>
      <c r="HF58" s="27" t="n"/>
      <c r="HG58" s="27" t="n"/>
      <c r="HH58" s="27" t="n"/>
      <c r="HI58" s="27" t="n"/>
      <c r="HJ58" s="27" t="n"/>
      <c r="HK58" s="27" t="n"/>
      <c r="HL58" s="27" t="n"/>
      <c r="HM58" s="27" t="n"/>
      <c r="HN58" s="27" t="n"/>
      <c r="HO58" s="27" t="n"/>
      <c r="HP58" s="27" t="n"/>
      <c r="HQ58" s="27" t="n"/>
      <c r="HR58" s="27" t="n"/>
      <c r="HS58" s="27" t="n"/>
      <c r="HT58" s="27" t="n"/>
      <c r="HU58" s="27" t="n"/>
      <c r="HV58" s="27" t="n"/>
      <c r="HW58" s="27" t="n"/>
      <c r="HX58" s="27" t="n"/>
      <c r="HY58" s="27" t="n"/>
      <c r="HZ58" s="27" t="n"/>
      <c r="IA58" s="27" t="n"/>
      <c r="IB58" s="27" t="n"/>
      <c r="IC58" s="27" t="n"/>
      <c r="ID58" s="27" t="n"/>
      <c r="IE58" s="27" t="n"/>
      <c r="IF58" s="27" t="n"/>
      <c r="IG58" s="27" t="n"/>
      <c r="IH58" s="27" t="n"/>
      <c r="II58" s="27" t="n"/>
      <c r="IJ58" s="27" t="n"/>
      <c r="IK58" s="27" t="n"/>
      <c r="IL58" s="27" t="n"/>
      <c r="IM58" s="27" t="n"/>
      <c r="IN58" s="27" t="n"/>
      <c r="IO58" s="27" t="n"/>
      <c r="IP58" s="27" t="n"/>
      <c r="IQ58" s="27" t="n"/>
      <c r="IR58" s="27" t="n"/>
      <c r="IS58" s="27" t="n"/>
      <c r="IT58" s="27" t="n"/>
      <c r="IU58" s="27" t="n"/>
      <c r="IV58" s="27" t="n"/>
    </row>
    <row r="59" ht="13" customHeight="1" s="195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  <c r="AA59" s="27" t="n"/>
      <c r="AB59" s="27" t="n"/>
      <c r="AC59" s="27" t="n"/>
      <c r="AD59" s="27" t="n"/>
      <c r="AE59" s="27" t="n"/>
      <c r="AF59" s="27" t="n"/>
      <c r="AG59" s="27" t="n"/>
      <c r="AH59" s="27" t="n"/>
      <c r="AI59" s="27" t="n"/>
      <c r="AJ59" s="27" t="n"/>
      <c r="AK59" s="27" t="n"/>
      <c r="AL59" s="27" t="n"/>
      <c r="AM59" s="27" t="n"/>
      <c r="AN59" s="27" t="n"/>
      <c r="AO59" s="27" t="n"/>
      <c r="AP59" s="27" t="n"/>
      <c r="AQ59" s="27" t="n"/>
      <c r="AR59" s="27" t="n"/>
      <c r="AS59" s="27" t="n"/>
      <c r="AT59" s="27" t="n"/>
      <c r="AU59" s="27" t="n"/>
      <c r="AV59" s="27" t="n"/>
      <c r="AW59" s="27" t="n"/>
      <c r="AX59" s="27" t="n"/>
      <c r="AY59" s="27" t="n"/>
      <c r="AZ59" s="27" t="n"/>
      <c r="BA59" s="27" t="n"/>
      <c r="BB59" s="27" t="n"/>
      <c r="BC59" s="27" t="n"/>
      <c r="BD59" s="27" t="n"/>
      <c r="BE59" s="27" t="n"/>
      <c r="BF59" s="27" t="n"/>
      <c r="BG59" s="27" t="n"/>
      <c r="BH59" s="27" t="n"/>
      <c r="BI59" s="27" t="n"/>
      <c r="BJ59" s="27" t="n"/>
      <c r="BK59" s="27" t="n"/>
      <c r="BL59" s="27" t="n"/>
      <c r="BM59" s="27" t="n"/>
      <c r="BN59" s="27" t="n"/>
      <c r="BO59" s="27" t="n"/>
      <c r="BP59" s="27" t="n"/>
      <c r="BQ59" s="27" t="n"/>
      <c r="BR59" s="27" t="n"/>
      <c r="BS59" s="27" t="n"/>
      <c r="BT59" s="27" t="n"/>
      <c r="BU59" s="27" t="n"/>
      <c r="BV59" s="27" t="n"/>
      <c r="BW59" s="27" t="n"/>
      <c r="BX59" s="27" t="n"/>
      <c r="BY59" s="27" t="n"/>
      <c r="BZ59" s="27" t="n"/>
      <c r="CA59" s="27" t="n"/>
      <c r="CB59" s="27" t="n"/>
      <c r="CC59" s="27" t="n"/>
      <c r="CD59" s="27" t="n"/>
      <c r="CE59" s="27" t="n"/>
      <c r="CF59" s="27" t="n"/>
      <c r="CG59" s="27" t="n"/>
      <c r="CH59" s="27" t="n"/>
      <c r="CI59" s="27" t="n"/>
      <c r="CJ59" s="27" t="n"/>
      <c r="CK59" s="27" t="n"/>
      <c r="CL59" s="27" t="n"/>
      <c r="CM59" s="27" t="n"/>
      <c r="CN59" s="27" t="n"/>
      <c r="CO59" s="27" t="n"/>
      <c r="CP59" s="27" t="n"/>
      <c r="CQ59" s="27" t="n"/>
      <c r="CR59" s="27" t="n"/>
      <c r="CS59" s="27" t="n"/>
      <c r="CT59" s="27" t="n"/>
      <c r="CU59" s="27" t="n"/>
      <c r="CV59" s="27" t="n"/>
      <c r="CW59" s="27" t="n"/>
      <c r="CX59" s="27" t="n"/>
      <c r="CY59" s="27" t="n"/>
      <c r="CZ59" s="27" t="n"/>
      <c r="DA59" s="27" t="n"/>
      <c r="DB59" s="27" t="n"/>
      <c r="DC59" s="27" t="n"/>
      <c r="DD59" s="27" t="n"/>
      <c r="DE59" s="27" t="n"/>
      <c r="DF59" s="27" t="n"/>
      <c r="DG59" s="27" t="n"/>
      <c r="DH59" s="27" t="n"/>
      <c r="DI59" s="27" t="n"/>
      <c r="DJ59" s="27" t="n"/>
      <c r="DK59" s="27" t="n"/>
      <c r="DL59" s="27" t="n"/>
      <c r="DM59" s="27" t="n"/>
      <c r="DN59" s="27" t="n"/>
      <c r="DO59" s="27" t="n"/>
      <c r="DP59" s="27" t="n"/>
      <c r="DQ59" s="27" t="n"/>
      <c r="DR59" s="27" t="n"/>
      <c r="DS59" s="27" t="n"/>
      <c r="DT59" s="27" t="n"/>
      <c r="DU59" s="27" t="n"/>
      <c r="DV59" s="27" t="n"/>
      <c r="DW59" s="27" t="n"/>
      <c r="DX59" s="27" t="n"/>
      <c r="DY59" s="27" t="n"/>
      <c r="DZ59" s="27" t="n"/>
      <c r="EA59" s="27" t="n"/>
      <c r="EB59" s="27" t="n"/>
      <c r="EC59" s="27" t="n"/>
      <c r="ED59" s="27" t="n"/>
      <c r="EE59" s="27" t="n"/>
      <c r="EF59" s="27" t="n"/>
      <c r="EG59" s="27" t="n"/>
      <c r="EH59" s="27" t="n"/>
      <c r="EI59" s="27" t="n"/>
      <c r="EJ59" s="27" t="n"/>
      <c r="EK59" s="27" t="n"/>
      <c r="EL59" s="27" t="n"/>
      <c r="EM59" s="27" t="n"/>
      <c r="EN59" s="27" t="n"/>
      <c r="EO59" s="27" t="n"/>
      <c r="EP59" s="27" t="n"/>
      <c r="EQ59" s="27" t="n"/>
      <c r="ER59" s="27" t="n"/>
      <c r="ES59" s="27" t="n"/>
      <c r="ET59" s="27" t="n"/>
      <c r="EU59" s="27" t="n"/>
      <c r="EV59" s="27" t="n"/>
      <c r="EW59" s="27" t="n"/>
      <c r="EX59" s="27" t="n"/>
      <c r="EY59" s="27" t="n"/>
      <c r="EZ59" s="27" t="n"/>
      <c r="FA59" s="27" t="n"/>
      <c r="FB59" s="27" t="n"/>
      <c r="FC59" s="27" t="n"/>
      <c r="FD59" s="27" t="n"/>
      <c r="FE59" s="27" t="n"/>
      <c r="FF59" s="27" t="n"/>
      <c r="FG59" s="27" t="n"/>
      <c r="FH59" s="27" t="n"/>
      <c r="FI59" s="27" t="n"/>
      <c r="FJ59" s="27" t="n"/>
      <c r="FK59" s="27" t="n"/>
      <c r="FL59" s="27" t="n"/>
      <c r="FM59" s="27" t="n"/>
      <c r="FN59" s="27" t="n"/>
      <c r="FO59" s="27" t="n"/>
      <c r="FP59" s="27" t="n"/>
      <c r="FQ59" s="27" t="n"/>
      <c r="FR59" s="27" t="n"/>
      <c r="FS59" s="27" t="n"/>
      <c r="FT59" s="27" t="n"/>
      <c r="FU59" s="27" t="n"/>
      <c r="FV59" s="27" t="n"/>
      <c r="FW59" s="27" t="n"/>
      <c r="FX59" s="27" t="n"/>
      <c r="FY59" s="27" t="n"/>
      <c r="FZ59" s="27" t="n"/>
      <c r="GA59" s="27" t="n"/>
      <c r="GB59" s="27" t="n"/>
      <c r="GC59" s="27" t="n"/>
      <c r="GD59" s="27" t="n"/>
      <c r="GE59" s="27" t="n"/>
      <c r="GF59" s="27" t="n"/>
      <c r="GG59" s="27" t="n"/>
      <c r="GH59" s="27" t="n"/>
      <c r="GI59" s="27" t="n"/>
      <c r="GJ59" s="27" t="n"/>
      <c r="GK59" s="27" t="n"/>
      <c r="GL59" s="27" t="n"/>
      <c r="GM59" s="27" t="n"/>
      <c r="GN59" s="27" t="n"/>
      <c r="GO59" s="27" t="n"/>
      <c r="GP59" s="27" t="n"/>
      <c r="GQ59" s="27" t="n"/>
      <c r="GR59" s="27" t="n"/>
      <c r="GS59" s="27" t="n"/>
      <c r="GT59" s="27" t="n"/>
      <c r="GU59" s="27" t="n"/>
      <c r="GV59" s="27" t="n"/>
      <c r="GW59" s="27" t="n"/>
      <c r="GX59" s="27" t="n"/>
      <c r="GY59" s="27" t="n"/>
      <c r="GZ59" s="27" t="n"/>
      <c r="HA59" s="27" t="n"/>
      <c r="HB59" s="27" t="n"/>
      <c r="HC59" s="27" t="n"/>
      <c r="HD59" s="27" t="n"/>
      <c r="HE59" s="27" t="n"/>
      <c r="HF59" s="27" t="n"/>
      <c r="HG59" s="27" t="n"/>
      <c r="HH59" s="27" t="n"/>
      <c r="HI59" s="27" t="n"/>
      <c r="HJ59" s="27" t="n"/>
      <c r="HK59" s="27" t="n"/>
      <c r="HL59" s="27" t="n"/>
      <c r="HM59" s="27" t="n"/>
      <c r="HN59" s="27" t="n"/>
      <c r="HO59" s="27" t="n"/>
      <c r="HP59" s="27" t="n"/>
      <c r="HQ59" s="27" t="n"/>
      <c r="HR59" s="27" t="n"/>
      <c r="HS59" s="27" t="n"/>
      <c r="HT59" s="27" t="n"/>
      <c r="HU59" s="27" t="n"/>
      <c r="HV59" s="27" t="n"/>
      <c r="HW59" s="27" t="n"/>
      <c r="HX59" s="27" t="n"/>
      <c r="HY59" s="27" t="n"/>
      <c r="HZ59" s="27" t="n"/>
      <c r="IA59" s="27" t="n"/>
      <c r="IB59" s="27" t="n"/>
      <c r="IC59" s="27" t="n"/>
      <c r="ID59" s="27" t="n"/>
      <c r="IE59" s="27" t="n"/>
      <c r="IF59" s="27" t="n"/>
      <c r="IG59" s="27" t="n"/>
      <c r="IH59" s="27" t="n"/>
      <c r="II59" s="27" t="n"/>
      <c r="IJ59" s="27" t="n"/>
      <c r="IK59" s="27" t="n"/>
      <c r="IL59" s="27" t="n"/>
      <c r="IM59" s="27" t="n"/>
      <c r="IN59" s="27" t="n"/>
      <c r="IO59" s="27" t="n"/>
      <c r="IP59" s="27" t="n"/>
      <c r="IQ59" s="27" t="n"/>
      <c r="IR59" s="27" t="n"/>
      <c r="IS59" s="27" t="n"/>
      <c r="IT59" s="27" t="n"/>
      <c r="IU59" s="27" t="n"/>
      <c r="IV59" s="27" t="n"/>
    </row>
    <row r="60" ht="13" customHeight="1" s="195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  <c r="AA60" s="27" t="n"/>
      <c r="AB60" s="27" t="n"/>
      <c r="AC60" s="27" t="n"/>
      <c r="AD60" s="27" t="n"/>
      <c r="AE60" s="27" t="n"/>
      <c r="AF60" s="27" t="n"/>
      <c r="AG60" s="27" t="n"/>
      <c r="AH60" s="27" t="n"/>
      <c r="AI60" s="27" t="n"/>
      <c r="AJ60" s="27" t="n"/>
      <c r="AK60" s="27" t="n"/>
      <c r="AL60" s="27" t="n"/>
      <c r="AM60" s="27" t="n"/>
      <c r="AN60" s="27" t="n"/>
      <c r="AO60" s="27" t="n"/>
      <c r="AP60" s="27" t="n"/>
      <c r="AQ60" s="27" t="n"/>
      <c r="AR60" s="27" t="n"/>
      <c r="AS60" s="27" t="n"/>
      <c r="AT60" s="27" t="n"/>
      <c r="AU60" s="27" t="n"/>
      <c r="AV60" s="27" t="n"/>
      <c r="AW60" s="27" t="n"/>
      <c r="AX60" s="27" t="n"/>
      <c r="AY60" s="27" t="n"/>
      <c r="AZ60" s="27" t="n"/>
      <c r="BA60" s="27" t="n"/>
      <c r="BB60" s="27" t="n"/>
      <c r="BC60" s="27" t="n"/>
      <c r="BD60" s="27" t="n"/>
      <c r="BE60" s="27" t="n"/>
      <c r="BF60" s="27" t="n"/>
      <c r="BG60" s="27" t="n"/>
      <c r="BH60" s="27" t="n"/>
      <c r="BI60" s="27" t="n"/>
      <c r="BJ60" s="27" t="n"/>
      <c r="BK60" s="27" t="n"/>
      <c r="BL60" s="27" t="n"/>
      <c r="BM60" s="27" t="n"/>
      <c r="BN60" s="27" t="n"/>
      <c r="BO60" s="27" t="n"/>
      <c r="BP60" s="27" t="n"/>
      <c r="BQ60" s="27" t="n"/>
      <c r="BR60" s="27" t="n"/>
      <c r="BS60" s="27" t="n"/>
      <c r="BT60" s="27" t="n"/>
      <c r="BU60" s="27" t="n"/>
      <c r="BV60" s="27" t="n"/>
      <c r="BW60" s="27" t="n"/>
      <c r="BX60" s="27" t="n"/>
      <c r="BY60" s="27" t="n"/>
      <c r="BZ60" s="27" t="n"/>
      <c r="CA60" s="27" t="n"/>
      <c r="CB60" s="27" t="n"/>
      <c r="CC60" s="27" t="n"/>
      <c r="CD60" s="27" t="n"/>
      <c r="CE60" s="27" t="n"/>
      <c r="CF60" s="27" t="n"/>
      <c r="CG60" s="27" t="n"/>
      <c r="CH60" s="27" t="n"/>
      <c r="CI60" s="27" t="n"/>
      <c r="CJ60" s="27" t="n"/>
      <c r="CK60" s="27" t="n"/>
      <c r="CL60" s="27" t="n"/>
      <c r="CM60" s="27" t="n"/>
      <c r="CN60" s="27" t="n"/>
      <c r="CO60" s="27" t="n"/>
      <c r="CP60" s="27" t="n"/>
      <c r="CQ60" s="27" t="n"/>
      <c r="CR60" s="27" t="n"/>
      <c r="CS60" s="27" t="n"/>
      <c r="CT60" s="27" t="n"/>
      <c r="CU60" s="27" t="n"/>
      <c r="CV60" s="27" t="n"/>
      <c r="CW60" s="27" t="n"/>
      <c r="CX60" s="27" t="n"/>
      <c r="CY60" s="27" t="n"/>
      <c r="CZ60" s="27" t="n"/>
      <c r="DA60" s="27" t="n"/>
      <c r="DB60" s="27" t="n"/>
      <c r="DC60" s="27" t="n"/>
      <c r="DD60" s="27" t="n"/>
      <c r="DE60" s="27" t="n"/>
      <c r="DF60" s="27" t="n"/>
      <c r="DG60" s="27" t="n"/>
      <c r="DH60" s="27" t="n"/>
      <c r="DI60" s="27" t="n"/>
      <c r="DJ60" s="27" t="n"/>
      <c r="DK60" s="27" t="n"/>
      <c r="DL60" s="27" t="n"/>
      <c r="DM60" s="27" t="n"/>
      <c r="DN60" s="27" t="n"/>
      <c r="DO60" s="27" t="n"/>
      <c r="DP60" s="27" t="n"/>
      <c r="DQ60" s="27" t="n"/>
      <c r="DR60" s="27" t="n"/>
      <c r="DS60" s="27" t="n"/>
      <c r="DT60" s="27" t="n"/>
      <c r="DU60" s="27" t="n"/>
      <c r="DV60" s="27" t="n"/>
      <c r="DW60" s="27" t="n"/>
      <c r="DX60" s="27" t="n"/>
      <c r="DY60" s="27" t="n"/>
      <c r="DZ60" s="27" t="n"/>
      <c r="EA60" s="27" t="n"/>
      <c r="EB60" s="27" t="n"/>
      <c r="EC60" s="27" t="n"/>
      <c r="ED60" s="27" t="n"/>
      <c r="EE60" s="27" t="n"/>
      <c r="EF60" s="27" t="n"/>
      <c r="EG60" s="27" t="n"/>
      <c r="EH60" s="27" t="n"/>
      <c r="EI60" s="27" t="n"/>
      <c r="EJ60" s="27" t="n"/>
      <c r="EK60" s="27" t="n"/>
      <c r="EL60" s="27" t="n"/>
      <c r="EM60" s="27" t="n"/>
      <c r="EN60" s="27" t="n"/>
      <c r="EO60" s="27" t="n"/>
      <c r="EP60" s="27" t="n"/>
      <c r="EQ60" s="27" t="n"/>
      <c r="ER60" s="27" t="n"/>
      <c r="ES60" s="27" t="n"/>
      <c r="ET60" s="27" t="n"/>
      <c r="EU60" s="27" t="n"/>
      <c r="EV60" s="27" t="n"/>
      <c r="EW60" s="27" t="n"/>
      <c r="EX60" s="27" t="n"/>
      <c r="EY60" s="27" t="n"/>
      <c r="EZ60" s="27" t="n"/>
      <c r="FA60" s="27" t="n"/>
      <c r="FB60" s="27" t="n"/>
      <c r="FC60" s="27" t="n"/>
      <c r="FD60" s="27" t="n"/>
      <c r="FE60" s="27" t="n"/>
      <c r="FF60" s="27" t="n"/>
      <c r="FG60" s="27" t="n"/>
      <c r="FH60" s="27" t="n"/>
      <c r="FI60" s="27" t="n"/>
      <c r="FJ60" s="27" t="n"/>
      <c r="FK60" s="27" t="n"/>
      <c r="FL60" s="27" t="n"/>
      <c r="FM60" s="27" t="n"/>
      <c r="FN60" s="27" t="n"/>
      <c r="FO60" s="27" t="n"/>
      <c r="FP60" s="27" t="n"/>
      <c r="FQ60" s="27" t="n"/>
      <c r="FR60" s="27" t="n"/>
      <c r="FS60" s="27" t="n"/>
      <c r="FT60" s="27" t="n"/>
      <c r="FU60" s="27" t="n"/>
      <c r="FV60" s="27" t="n"/>
      <c r="FW60" s="27" t="n"/>
      <c r="FX60" s="27" t="n"/>
      <c r="FY60" s="27" t="n"/>
      <c r="FZ60" s="27" t="n"/>
      <c r="GA60" s="27" t="n"/>
      <c r="GB60" s="27" t="n"/>
      <c r="GC60" s="27" t="n"/>
      <c r="GD60" s="27" t="n"/>
      <c r="GE60" s="27" t="n"/>
      <c r="GF60" s="27" t="n"/>
      <c r="GG60" s="27" t="n"/>
      <c r="GH60" s="27" t="n"/>
      <c r="GI60" s="27" t="n"/>
      <c r="GJ60" s="27" t="n"/>
      <c r="GK60" s="27" t="n"/>
      <c r="GL60" s="27" t="n"/>
      <c r="GM60" s="27" t="n"/>
      <c r="GN60" s="27" t="n"/>
      <c r="GO60" s="27" t="n"/>
      <c r="GP60" s="27" t="n"/>
      <c r="GQ60" s="27" t="n"/>
      <c r="GR60" s="27" t="n"/>
      <c r="GS60" s="27" t="n"/>
      <c r="GT60" s="27" t="n"/>
      <c r="GU60" s="27" t="n"/>
      <c r="GV60" s="27" t="n"/>
      <c r="GW60" s="27" t="n"/>
      <c r="GX60" s="27" t="n"/>
      <c r="GY60" s="27" t="n"/>
      <c r="GZ60" s="27" t="n"/>
      <c r="HA60" s="27" t="n"/>
      <c r="HB60" s="27" t="n"/>
      <c r="HC60" s="27" t="n"/>
      <c r="HD60" s="27" t="n"/>
      <c r="HE60" s="27" t="n"/>
      <c r="HF60" s="27" t="n"/>
      <c r="HG60" s="27" t="n"/>
      <c r="HH60" s="27" t="n"/>
      <c r="HI60" s="27" t="n"/>
      <c r="HJ60" s="27" t="n"/>
      <c r="HK60" s="27" t="n"/>
      <c r="HL60" s="27" t="n"/>
      <c r="HM60" s="27" t="n"/>
      <c r="HN60" s="27" t="n"/>
      <c r="HO60" s="27" t="n"/>
      <c r="HP60" s="27" t="n"/>
      <c r="HQ60" s="27" t="n"/>
      <c r="HR60" s="27" t="n"/>
      <c r="HS60" s="27" t="n"/>
      <c r="HT60" s="27" t="n"/>
      <c r="HU60" s="27" t="n"/>
      <c r="HV60" s="27" t="n"/>
      <c r="HW60" s="27" t="n"/>
      <c r="HX60" s="27" t="n"/>
      <c r="HY60" s="27" t="n"/>
      <c r="HZ60" s="27" t="n"/>
      <c r="IA60" s="27" t="n"/>
      <c r="IB60" s="27" t="n"/>
      <c r="IC60" s="27" t="n"/>
      <c r="ID60" s="27" t="n"/>
      <c r="IE60" s="27" t="n"/>
      <c r="IF60" s="27" t="n"/>
      <c r="IG60" s="27" t="n"/>
      <c r="IH60" s="27" t="n"/>
      <c r="II60" s="27" t="n"/>
      <c r="IJ60" s="27" t="n"/>
      <c r="IK60" s="27" t="n"/>
      <c r="IL60" s="27" t="n"/>
      <c r="IM60" s="27" t="n"/>
      <c r="IN60" s="27" t="n"/>
      <c r="IO60" s="27" t="n"/>
      <c r="IP60" s="27" t="n"/>
      <c r="IQ60" s="27" t="n"/>
      <c r="IR60" s="27" t="n"/>
      <c r="IS60" s="27" t="n"/>
      <c r="IT60" s="27" t="n"/>
      <c r="IU60" s="27" t="n"/>
      <c r="IV60" s="27" t="n"/>
    </row>
    <row r="61" ht="13" customHeight="1" s="195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  <c r="AA61" s="27" t="n"/>
      <c r="AB61" s="27" t="n"/>
      <c r="AC61" s="27" t="n"/>
      <c r="AD61" s="27" t="n"/>
      <c r="AE61" s="27" t="n"/>
      <c r="AF61" s="27" t="n"/>
      <c r="AG61" s="27" t="n"/>
      <c r="AH61" s="27" t="n"/>
      <c r="AI61" s="27" t="n"/>
      <c r="AJ61" s="27" t="n"/>
      <c r="AK61" s="27" t="n"/>
      <c r="AL61" s="27" t="n"/>
      <c r="AM61" s="27" t="n"/>
      <c r="AN61" s="27" t="n"/>
      <c r="AO61" s="27" t="n"/>
      <c r="AP61" s="27" t="n"/>
      <c r="AQ61" s="27" t="n"/>
      <c r="AR61" s="27" t="n"/>
      <c r="AS61" s="27" t="n"/>
      <c r="AT61" s="27" t="n"/>
      <c r="AU61" s="27" t="n"/>
      <c r="AV61" s="27" t="n"/>
      <c r="AW61" s="27" t="n"/>
      <c r="AX61" s="27" t="n"/>
      <c r="AY61" s="27" t="n"/>
      <c r="AZ61" s="27" t="n"/>
      <c r="BA61" s="27" t="n"/>
      <c r="BB61" s="27" t="n"/>
      <c r="BC61" s="27" t="n"/>
      <c r="BD61" s="27" t="n"/>
      <c r="BE61" s="27" t="n"/>
      <c r="BF61" s="27" t="n"/>
      <c r="BG61" s="27" t="n"/>
      <c r="BH61" s="27" t="n"/>
      <c r="BI61" s="27" t="n"/>
      <c r="BJ61" s="27" t="n"/>
      <c r="BK61" s="27" t="n"/>
      <c r="BL61" s="27" t="n"/>
      <c r="BM61" s="27" t="n"/>
      <c r="BN61" s="27" t="n"/>
      <c r="BO61" s="27" t="n"/>
      <c r="BP61" s="27" t="n"/>
      <c r="BQ61" s="27" t="n"/>
      <c r="BR61" s="27" t="n"/>
      <c r="BS61" s="27" t="n"/>
      <c r="BT61" s="27" t="n"/>
      <c r="BU61" s="27" t="n"/>
      <c r="BV61" s="27" t="n"/>
      <c r="BW61" s="27" t="n"/>
      <c r="BX61" s="27" t="n"/>
      <c r="BY61" s="27" t="n"/>
      <c r="BZ61" s="27" t="n"/>
      <c r="CA61" s="27" t="n"/>
      <c r="CB61" s="27" t="n"/>
      <c r="CC61" s="27" t="n"/>
      <c r="CD61" s="27" t="n"/>
      <c r="CE61" s="27" t="n"/>
      <c r="CF61" s="27" t="n"/>
      <c r="CG61" s="27" t="n"/>
      <c r="CH61" s="27" t="n"/>
      <c r="CI61" s="27" t="n"/>
      <c r="CJ61" s="27" t="n"/>
      <c r="CK61" s="27" t="n"/>
      <c r="CL61" s="27" t="n"/>
      <c r="CM61" s="27" t="n"/>
      <c r="CN61" s="27" t="n"/>
      <c r="CO61" s="27" t="n"/>
      <c r="CP61" s="27" t="n"/>
      <c r="CQ61" s="27" t="n"/>
      <c r="CR61" s="27" t="n"/>
      <c r="CS61" s="27" t="n"/>
      <c r="CT61" s="27" t="n"/>
      <c r="CU61" s="27" t="n"/>
      <c r="CV61" s="27" t="n"/>
      <c r="CW61" s="27" t="n"/>
      <c r="CX61" s="27" t="n"/>
      <c r="CY61" s="27" t="n"/>
      <c r="CZ61" s="27" t="n"/>
      <c r="DA61" s="27" t="n"/>
      <c r="DB61" s="27" t="n"/>
      <c r="DC61" s="27" t="n"/>
      <c r="DD61" s="27" t="n"/>
      <c r="DE61" s="27" t="n"/>
      <c r="DF61" s="27" t="n"/>
      <c r="DG61" s="27" t="n"/>
      <c r="DH61" s="27" t="n"/>
      <c r="DI61" s="27" t="n"/>
      <c r="DJ61" s="27" t="n"/>
      <c r="DK61" s="27" t="n"/>
      <c r="DL61" s="27" t="n"/>
      <c r="DM61" s="27" t="n"/>
      <c r="DN61" s="27" t="n"/>
      <c r="DO61" s="27" t="n"/>
      <c r="DP61" s="27" t="n"/>
      <c r="DQ61" s="27" t="n"/>
      <c r="DR61" s="27" t="n"/>
      <c r="DS61" s="27" t="n"/>
      <c r="DT61" s="27" t="n"/>
      <c r="DU61" s="27" t="n"/>
      <c r="DV61" s="27" t="n"/>
      <c r="DW61" s="27" t="n"/>
      <c r="DX61" s="27" t="n"/>
      <c r="DY61" s="27" t="n"/>
      <c r="DZ61" s="27" t="n"/>
      <c r="EA61" s="27" t="n"/>
      <c r="EB61" s="27" t="n"/>
      <c r="EC61" s="27" t="n"/>
      <c r="ED61" s="27" t="n"/>
      <c r="EE61" s="27" t="n"/>
      <c r="EF61" s="27" t="n"/>
      <c r="EG61" s="27" t="n"/>
      <c r="EH61" s="27" t="n"/>
      <c r="EI61" s="27" t="n"/>
      <c r="EJ61" s="27" t="n"/>
      <c r="EK61" s="27" t="n"/>
      <c r="EL61" s="27" t="n"/>
      <c r="EM61" s="27" t="n"/>
      <c r="EN61" s="27" t="n"/>
      <c r="EO61" s="27" t="n"/>
      <c r="EP61" s="27" t="n"/>
      <c r="EQ61" s="27" t="n"/>
      <c r="ER61" s="27" t="n"/>
      <c r="ES61" s="27" t="n"/>
      <c r="ET61" s="27" t="n"/>
      <c r="EU61" s="27" t="n"/>
      <c r="EV61" s="27" t="n"/>
      <c r="EW61" s="27" t="n"/>
      <c r="EX61" s="27" t="n"/>
      <c r="EY61" s="27" t="n"/>
      <c r="EZ61" s="27" t="n"/>
      <c r="FA61" s="27" t="n"/>
      <c r="FB61" s="27" t="n"/>
      <c r="FC61" s="27" t="n"/>
      <c r="FD61" s="27" t="n"/>
      <c r="FE61" s="27" t="n"/>
      <c r="FF61" s="27" t="n"/>
      <c r="FG61" s="27" t="n"/>
      <c r="FH61" s="27" t="n"/>
      <c r="FI61" s="27" t="n"/>
      <c r="FJ61" s="27" t="n"/>
      <c r="FK61" s="27" t="n"/>
      <c r="FL61" s="27" t="n"/>
      <c r="FM61" s="27" t="n"/>
      <c r="FN61" s="27" t="n"/>
      <c r="FO61" s="27" t="n"/>
      <c r="FP61" s="27" t="n"/>
      <c r="FQ61" s="27" t="n"/>
      <c r="FR61" s="27" t="n"/>
      <c r="FS61" s="27" t="n"/>
      <c r="FT61" s="27" t="n"/>
      <c r="FU61" s="27" t="n"/>
      <c r="FV61" s="27" t="n"/>
      <c r="FW61" s="27" t="n"/>
      <c r="FX61" s="27" t="n"/>
      <c r="FY61" s="27" t="n"/>
      <c r="FZ61" s="27" t="n"/>
      <c r="GA61" s="27" t="n"/>
      <c r="GB61" s="27" t="n"/>
      <c r="GC61" s="27" t="n"/>
      <c r="GD61" s="27" t="n"/>
      <c r="GE61" s="27" t="n"/>
      <c r="GF61" s="27" t="n"/>
      <c r="GG61" s="27" t="n"/>
      <c r="GH61" s="27" t="n"/>
      <c r="GI61" s="27" t="n"/>
      <c r="GJ61" s="27" t="n"/>
      <c r="GK61" s="27" t="n"/>
      <c r="GL61" s="27" t="n"/>
      <c r="GM61" s="27" t="n"/>
      <c r="GN61" s="27" t="n"/>
      <c r="GO61" s="27" t="n"/>
      <c r="GP61" s="27" t="n"/>
      <c r="GQ61" s="27" t="n"/>
      <c r="GR61" s="27" t="n"/>
      <c r="GS61" s="27" t="n"/>
      <c r="GT61" s="27" t="n"/>
      <c r="GU61" s="27" t="n"/>
      <c r="GV61" s="27" t="n"/>
      <c r="GW61" s="27" t="n"/>
      <c r="GX61" s="27" t="n"/>
      <c r="GY61" s="27" t="n"/>
      <c r="GZ61" s="27" t="n"/>
      <c r="HA61" s="27" t="n"/>
      <c r="HB61" s="27" t="n"/>
      <c r="HC61" s="27" t="n"/>
      <c r="HD61" s="27" t="n"/>
      <c r="HE61" s="27" t="n"/>
      <c r="HF61" s="27" t="n"/>
      <c r="HG61" s="27" t="n"/>
      <c r="HH61" s="27" t="n"/>
      <c r="HI61" s="27" t="n"/>
      <c r="HJ61" s="27" t="n"/>
      <c r="HK61" s="27" t="n"/>
      <c r="HL61" s="27" t="n"/>
      <c r="HM61" s="27" t="n"/>
      <c r="HN61" s="27" t="n"/>
      <c r="HO61" s="27" t="n"/>
      <c r="HP61" s="27" t="n"/>
      <c r="HQ61" s="27" t="n"/>
      <c r="HR61" s="27" t="n"/>
      <c r="HS61" s="27" t="n"/>
      <c r="HT61" s="27" t="n"/>
      <c r="HU61" s="27" t="n"/>
      <c r="HV61" s="27" t="n"/>
      <c r="HW61" s="27" t="n"/>
      <c r="HX61" s="27" t="n"/>
      <c r="HY61" s="27" t="n"/>
      <c r="HZ61" s="27" t="n"/>
      <c r="IA61" s="27" t="n"/>
      <c r="IB61" s="27" t="n"/>
      <c r="IC61" s="27" t="n"/>
      <c r="ID61" s="27" t="n"/>
      <c r="IE61" s="27" t="n"/>
      <c r="IF61" s="27" t="n"/>
      <c r="IG61" s="27" t="n"/>
      <c r="IH61" s="27" t="n"/>
      <c r="II61" s="27" t="n"/>
      <c r="IJ61" s="27" t="n"/>
      <c r="IK61" s="27" t="n"/>
      <c r="IL61" s="27" t="n"/>
      <c r="IM61" s="27" t="n"/>
      <c r="IN61" s="27" t="n"/>
      <c r="IO61" s="27" t="n"/>
      <c r="IP61" s="27" t="n"/>
      <c r="IQ61" s="27" t="n"/>
      <c r="IR61" s="27" t="n"/>
      <c r="IS61" s="27" t="n"/>
      <c r="IT61" s="27" t="n"/>
      <c r="IU61" s="27" t="n"/>
      <c r="IV61" s="27" t="n"/>
    </row>
    <row r="62" ht="13" customHeight="1" s="195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  <c r="AA62" s="27" t="n"/>
      <c r="AB62" s="27" t="n"/>
      <c r="AC62" s="27" t="n"/>
      <c r="AD62" s="27" t="n"/>
      <c r="AE62" s="27" t="n"/>
      <c r="AF62" s="27" t="n"/>
      <c r="AG62" s="27" t="n"/>
      <c r="AH62" s="27" t="n"/>
      <c r="AI62" s="27" t="n"/>
      <c r="AJ62" s="27" t="n"/>
      <c r="AK62" s="27" t="n"/>
      <c r="AL62" s="27" t="n"/>
      <c r="AM62" s="27" t="n"/>
      <c r="AN62" s="27" t="n"/>
      <c r="AO62" s="27" t="n"/>
      <c r="AP62" s="27" t="n"/>
      <c r="AQ62" s="27" t="n"/>
      <c r="AR62" s="27" t="n"/>
      <c r="AS62" s="27" t="n"/>
      <c r="AT62" s="27" t="n"/>
      <c r="AU62" s="27" t="n"/>
      <c r="AV62" s="27" t="n"/>
      <c r="AW62" s="27" t="n"/>
      <c r="AX62" s="27" t="n"/>
      <c r="AY62" s="27" t="n"/>
      <c r="AZ62" s="27" t="n"/>
      <c r="BA62" s="27" t="n"/>
      <c r="BB62" s="27" t="n"/>
      <c r="BC62" s="27" t="n"/>
      <c r="BD62" s="27" t="n"/>
      <c r="BE62" s="27" t="n"/>
      <c r="BF62" s="27" t="n"/>
      <c r="BG62" s="27" t="n"/>
      <c r="BH62" s="27" t="n"/>
      <c r="BI62" s="27" t="n"/>
      <c r="BJ62" s="27" t="n"/>
      <c r="BK62" s="27" t="n"/>
      <c r="BL62" s="27" t="n"/>
      <c r="BM62" s="27" t="n"/>
      <c r="BN62" s="27" t="n"/>
      <c r="BO62" s="27" t="n"/>
      <c r="BP62" s="27" t="n"/>
      <c r="BQ62" s="27" t="n"/>
      <c r="BR62" s="27" t="n"/>
      <c r="BS62" s="27" t="n"/>
      <c r="BT62" s="27" t="n"/>
      <c r="BU62" s="27" t="n"/>
      <c r="BV62" s="27" t="n"/>
      <c r="BW62" s="27" t="n"/>
      <c r="BX62" s="27" t="n"/>
      <c r="BY62" s="27" t="n"/>
      <c r="BZ62" s="27" t="n"/>
      <c r="CA62" s="27" t="n"/>
      <c r="CB62" s="27" t="n"/>
      <c r="CC62" s="27" t="n"/>
      <c r="CD62" s="27" t="n"/>
      <c r="CE62" s="27" t="n"/>
      <c r="CF62" s="27" t="n"/>
      <c r="CG62" s="27" t="n"/>
      <c r="CH62" s="27" t="n"/>
      <c r="CI62" s="27" t="n"/>
      <c r="CJ62" s="27" t="n"/>
      <c r="CK62" s="27" t="n"/>
      <c r="CL62" s="27" t="n"/>
      <c r="CM62" s="27" t="n"/>
      <c r="CN62" s="27" t="n"/>
      <c r="CO62" s="27" t="n"/>
      <c r="CP62" s="27" t="n"/>
      <c r="CQ62" s="27" t="n"/>
      <c r="CR62" s="27" t="n"/>
      <c r="CS62" s="27" t="n"/>
      <c r="CT62" s="27" t="n"/>
      <c r="CU62" s="27" t="n"/>
      <c r="CV62" s="27" t="n"/>
      <c r="CW62" s="27" t="n"/>
      <c r="CX62" s="27" t="n"/>
      <c r="CY62" s="27" t="n"/>
      <c r="CZ62" s="27" t="n"/>
      <c r="DA62" s="27" t="n"/>
      <c r="DB62" s="27" t="n"/>
      <c r="DC62" s="27" t="n"/>
      <c r="DD62" s="27" t="n"/>
      <c r="DE62" s="27" t="n"/>
      <c r="DF62" s="27" t="n"/>
      <c r="DG62" s="27" t="n"/>
      <c r="DH62" s="27" t="n"/>
      <c r="DI62" s="27" t="n"/>
      <c r="DJ62" s="27" t="n"/>
      <c r="DK62" s="27" t="n"/>
      <c r="DL62" s="27" t="n"/>
      <c r="DM62" s="27" t="n"/>
      <c r="DN62" s="27" t="n"/>
      <c r="DO62" s="27" t="n"/>
      <c r="DP62" s="27" t="n"/>
      <c r="DQ62" s="27" t="n"/>
      <c r="DR62" s="27" t="n"/>
      <c r="DS62" s="27" t="n"/>
      <c r="DT62" s="27" t="n"/>
      <c r="DU62" s="27" t="n"/>
      <c r="DV62" s="27" t="n"/>
      <c r="DW62" s="27" t="n"/>
      <c r="DX62" s="27" t="n"/>
      <c r="DY62" s="27" t="n"/>
      <c r="DZ62" s="27" t="n"/>
      <c r="EA62" s="27" t="n"/>
      <c r="EB62" s="27" t="n"/>
      <c r="EC62" s="27" t="n"/>
      <c r="ED62" s="27" t="n"/>
      <c r="EE62" s="27" t="n"/>
      <c r="EF62" s="27" t="n"/>
      <c r="EG62" s="27" t="n"/>
      <c r="EH62" s="27" t="n"/>
      <c r="EI62" s="27" t="n"/>
      <c r="EJ62" s="27" t="n"/>
      <c r="EK62" s="27" t="n"/>
      <c r="EL62" s="27" t="n"/>
      <c r="EM62" s="27" t="n"/>
      <c r="EN62" s="27" t="n"/>
      <c r="EO62" s="27" t="n"/>
      <c r="EP62" s="27" t="n"/>
      <c r="EQ62" s="27" t="n"/>
      <c r="ER62" s="27" t="n"/>
      <c r="ES62" s="27" t="n"/>
      <c r="ET62" s="27" t="n"/>
      <c r="EU62" s="27" t="n"/>
      <c r="EV62" s="27" t="n"/>
      <c r="EW62" s="27" t="n"/>
      <c r="EX62" s="27" t="n"/>
      <c r="EY62" s="27" t="n"/>
      <c r="EZ62" s="27" t="n"/>
      <c r="FA62" s="27" t="n"/>
      <c r="FB62" s="27" t="n"/>
      <c r="FC62" s="27" t="n"/>
      <c r="FD62" s="27" t="n"/>
      <c r="FE62" s="27" t="n"/>
      <c r="FF62" s="27" t="n"/>
      <c r="FG62" s="27" t="n"/>
      <c r="FH62" s="27" t="n"/>
      <c r="FI62" s="27" t="n"/>
      <c r="FJ62" s="27" t="n"/>
      <c r="FK62" s="27" t="n"/>
      <c r="FL62" s="27" t="n"/>
      <c r="FM62" s="27" t="n"/>
      <c r="FN62" s="27" t="n"/>
      <c r="FO62" s="27" t="n"/>
      <c r="FP62" s="27" t="n"/>
      <c r="FQ62" s="27" t="n"/>
      <c r="FR62" s="27" t="n"/>
      <c r="FS62" s="27" t="n"/>
      <c r="FT62" s="27" t="n"/>
      <c r="FU62" s="27" t="n"/>
      <c r="FV62" s="27" t="n"/>
      <c r="FW62" s="27" t="n"/>
      <c r="FX62" s="27" t="n"/>
      <c r="FY62" s="27" t="n"/>
      <c r="FZ62" s="27" t="n"/>
      <c r="GA62" s="27" t="n"/>
      <c r="GB62" s="27" t="n"/>
      <c r="GC62" s="27" t="n"/>
      <c r="GD62" s="27" t="n"/>
      <c r="GE62" s="27" t="n"/>
      <c r="GF62" s="27" t="n"/>
      <c r="GG62" s="27" t="n"/>
      <c r="GH62" s="27" t="n"/>
      <c r="GI62" s="27" t="n"/>
      <c r="GJ62" s="27" t="n"/>
      <c r="GK62" s="27" t="n"/>
      <c r="GL62" s="27" t="n"/>
      <c r="GM62" s="27" t="n"/>
      <c r="GN62" s="27" t="n"/>
      <c r="GO62" s="27" t="n"/>
      <c r="GP62" s="27" t="n"/>
      <c r="GQ62" s="27" t="n"/>
      <c r="GR62" s="27" t="n"/>
      <c r="GS62" s="27" t="n"/>
      <c r="GT62" s="27" t="n"/>
      <c r="GU62" s="27" t="n"/>
      <c r="GV62" s="27" t="n"/>
      <c r="GW62" s="27" t="n"/>
      <c r="GX62" s="27" t="n"/>
      <c r="GY62" s="27" t="n"/>
      <c r="GZ62" s="27" t="n"/>
      <c r="HA62" s="27" t="n"/>
      <c r="HB62" s="27" t="n"/>
      <c r="HC62" s="27" t="n"/>
      <c r="HD62" s="27" t="n"/>
      <c r="HE62" s="27" t="n"/>
      <c r="HF62" s="27" t="n"/>
      <c r="HG62" s="27" t="n"/>
      <c r="HH62" s="27" t="n"/>
      <c r="HI62" s="27" t="n"/>
      <c r="HJ62" s="27" t="n"/>
      <c r="HK62" s="27" t="n"/>
      <c r="HL62" s="27" t="n"/>
      <c r="HM62" s="27" t="n"/>
      <c r="HN62" s="27" t="n"/>
      <c r="HO62" s="27" t="n"/>
      <c r="HP62" s="27" t="n"/>
      <c r="HQ62" s="27" t="n"/>
      <c r="HR62" s="27" t="n"/>
      <c r="HS62" s="27" t="n"/>
      <c r="HT62" s="27" t="n"/>
      <c r="HU62" s="27" t="n"/>
      <c r="HV62" s="27" t="n"/>
      <c r="HW62" s="27" t="n"/>
      <c r="HX62" s="27" t="n"/>
      <c r="HY62" s="27" t="n"/>
      <c r="HZ62" s="27" t="n"/>
      <c r="IA62" s="27" t="n"/>
      <c r="IB62" s="27" t="n"/>
      <c r="IC62" s="27" t="n"/>
      <c r="ID62" s="27" t="n"/>
      <c r="IE62" s="27" t="n"/>
      <c r="IF62" s="27" t="n"/>
      <c r="IG62" s="27" t="n"/>
      <c r="IH62" s="27" t="n"/>
      <c r="II62" s="27" t="n"/>
      <c r="IJ62" s="27" t="n"/>
      <c r="IK62" s="27" t="n"/>
      <c r="IL62" s="27" t="n"/>
      <c r="IM62" s="27" t="n"/>
      <c r="IN62" s="27" t="n"/>
      <c r="IO62" s="27" t="n"/>
      <c r="IP62" s="27" t="n"/>
      <c r="IQ62" s="27" t="n"/>
      <c r="IR62" s="27" t="n"/>
      <c r="IS62" s="27" t="n"/>
      <c r="IT62" s="27" t="n"/>
      <c r="IU62" s="27" t="n"/>
      <c r="IV62" s="27" t="n"/>
    </row>
    <row r="63" ht="13" customHeight="1" s="195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  <c r="AA63" s="27" t="n"/>
      <c r="AB63" s="27" t="n"/>
      <c r="AC63" s="27" t="n"/>
      <c r="AD63" s="27" t="n"/>
      <c r="AE63" s="27" t="n"/>
      <c r="AF63" s="27" t="n"/>
      <c r="AG63" s="27" t="n"/>
      <c r="AH63" s="27" t="n"/>
      <c r="AI63" s="27" t="n"/>
      <c r="AJ63" s="27" t="n"/>
      <c r="AK63" s="27" t="n"/>
      <c r="AL63" s="27" t="n"/>
      <c r="AM63" s="27" t="n"/>
      <c r="AN63" s="27" t="n"/>
      <c r="AO63" s="27" t="n"/>
      <c r="AP63" s="27" t="n"/>
      <c r="AQ63" s="27" t="n"/>
      <c r="AR63" s="27" t="n"/>
      <c r="AS63" s="27" t="n"/>
      <c r="AT63" s="27" t="n"/>
      <c r="AU63" s="27" t="n"/>
      <c r="AV63" s="27" t="n"/>
      <c r="AW63" s="27" t="n"/>
      <c r="AX63" s="27" t="n"/>
      <c r="AY63" s="27" t="n"/>
      <c r="AZ63" s="27" t="n"/>
      <c r="BA63" s="27" t="n"/>
      <c r="BB63" s="27" t="n"/>
      <c r="BC63" s="27" t="n"/>
      <c r="BD63" s="27" t="n"/>
      <c r="BE63" s="27" t="n"/>
      <c r="BF63" s="27" t="n"/>
      <c r="BG63" s="27" t="n"/>
      <c r="BH63" s="27" t="n"/>
      <c r="BI63" s="27" t="n"/>
      <c r="BJ63" s="27" t="n"/>
      <c r="BK63" s="27" t="n"/>
      <c r="BL63" s="27" t="n"/>
      <c r="BM63" s="27" t="n"/>
      <c r="BN63" s="27" t="n"/>
      <c r="BO63" s="27" t="n"/>
      <c r="BP63" s="27" t="n"/>
      <c r="BQ63" s="27" t="n"/>
      <c r="BR63" s="27" t="n"/>
      <c r="BS63" s="27" t="n"/>
      <c r="BT63" s="27" t="n"/>
      <c r="BU63" s="27" t="n"/>
      <c r="BV63" s="27" t="n"/>
      <c r="BW63" s="27" t="n"/>
      <c r="BX63" s="27" t="n"/>
      <c r="BY63" s="27" t="n"/>
      <c r="BZ63" s="27" t="n"/>
      <c r="CA63" s="27" t="n"/>
      <c r="CB63" s="27" t="n"/>
      <c r="CC63" s="27" t="n"/>
      <c r="CD63" s="27" t="n"/>
      <c r="CE63" s="27" t="n"/>
      <c r="CF63" s="27" t="n"/>
      <c r="CG63" s="27" t="n"/>
      <c r="CH63" s="27" t="n"/>
      <c r="CI63" s="27" t="n"/>
      <c r="CJ63" s="27" t="n"/>
      <c r="CK63" s="27" t="n"/>
      <c r="CL63" s="27" t="n"/>
      <c r="CM63" s="27" t="n"/>
      <c r="CN63" s="27" t="n"/>
      <c r="CO63" s="27" t="n"/>
      <c r="CP63" s="27" t="n"/>
      <c r="CQ63" s="27" t="n"/>
      <c r="CR63" s="27" t="n"/>
      <c r="CS63" s="27" t="n"/>
      <c r="CT63" s="27" t="n"/>
      <c r="CU63" s="27" t="n"/>
      <c r="CV63" s="27" t="n"/>
      <c r="CW63" s="27" t="n"/>
      <c r="CX63" s="27" t="n"/>
      <c r="CY63" s="27" t="n"/>
      <c r="CZ63" s="27" t="n"/>
      <c r="DA63" s="27" t="n"/>
      <c r="DB63" s="27" t="n"/>
      <c r="DC63" s="27" t="n"/>
      <c r="DD63" s="27" t="n"/>
      <c r="DE63" s="27" t="n"/>
      <c r="DF63" s="27" t="n"/>
      <c r="DG63" s="27" t="n"/>
      <c r="DH63" s="27" t="n"/>
      <c r="DI63" s="27" t="n"/>
      <c r="DJ63" s="27" t="n"/>
      <c r="DK63" s="27" t="n"/>
      <c r="DL63" s="27" t="n"/>
      <c r="DM63" s="27" t="n"/>
      <c r="DN63" s="27" t="n"/>
      <c r="DO63" s="27" t="n"/>
      <c r="DP63" s="27" t="n"/>
      <c r="DQ63" s="27" t="n"/>
      <c r="DR63" s="27" t="n"/>
      <c r="DS63" s="27" t="n"/>
      <c r="DT63" s="27" t="n"/>
      <c r="DU63" s="27" t="n"/>
      <c r="DV63" s="27" t="n"/>
      <c r="DW63" s="27" t="n"/>
      <c r="DX63" s="27" t="n"/>
      <c r="DY63" s="27" t="n"/>
      <c r="DZ63" s="27" t="n"/>
      <c r="EA63" s="27" t="n"/>
      <c r="EB63" s="27" t="n"/>
      <c r="EC63" s="27" t="n"/>
      <c r="ED63" s="27" t="n"/>
      <c r="EE63" s="27" t="n"/>
      <c r="EF63" s="27" t="n"/>
      <c r="EG63" s="27" t="n"/>
      <c r="EH63" s="27" t="n"/>
      <c r="EI63" s="27" t="n"/>
      <c r="EJ63" s="27" t="n"/>
      <c r="EK63" s="27" t="n"/>
      <c r="EL63" s="27" t="n"/>
      <c r="EM63" s="27" t="n"/>
      <c r="EN63" s="27" t="n"/>
      <c r="EO63" s="27" t="n"/>
      <c r="EP63" s="27" t="n"/>
      <c r="EQ63" s="27" t="n"/>
      <c r="ER63" s="27" t="n"/>
      <c r="ES63" s="27" t="n"/>
      <c r="ET63" s="27" t="n"/>
      <c r="EU63" s="27" t="n"/>
      <c r="EV63" s="27" t="n"/>
      <c r="EW63" s="27" t="n"/>
      <c r="EX63" s="27" t="n"/>
      <c r="EY63" s="27" t="n"/>
      <c r="EZ63" s="27" t="n"/>
      <c r="FA63" s="27" t="n"/>
      <c r="FB63" s="27" t="n"/>
      <c r="FC63" s="27" t="n"/>
      <c r="FD63" s="27" t="n"/>
      <c r="FE63" s="27" t="n"/>
      <c r="FF63" s="27" t="n"/>
      <c r="FG63" s="27" t="n"/>
      <c r="FH63" s="27" t="n"/>
      <c r="FI63" s="27" t="n"/>
      <c r="FJ63" s="27" t="n"/>
      <c r="FK63" s="27" t="n"/>
      <c r="FL63" s="27" t="n"/>
      <c r="FM63" s="27" t="n"/>
      <c r="FN63" s="27" t="n"/>
      <c r="FO63" s="27" t="n"/>
      <c r="FP63" s="27" t="n"/>
      <c r="FQ63" s="27" t="n"/>
      <c r="FR63" s="27" t="n"/>
      <c r="FS63" s="27" t="n"/>
      <c r="FT63" s="27" t="n"/>
      <c r="FU63" s="27" t="n"/>
      <c r="FV63" s="27" t="n"/>
      <c r="FW63" s="27" t="n"/>
      <c r="FX63" s="27" t="n"/>
      <c r="FY63" s="27" t="n"/>
      <c r="FZ63" s="27" t="n"/>
      <c r="GA63" s="27" t="n"/>
      <c r="GB63" s="27" t="n"/>
      <c r="GC63" s="27" t="n"/>
      <c r="GD63" s="27" t="n"/>
      <c r="GE63" s="27" t="n"/>
      <c r="GF63" s="27" t="n"/>
      <c r="GG63" s="27" t="n"/>
      <c r="GH63" s="27" t="n"/>
      <c r="GI63" s="27" t="n"/>
      <c r="GJ63" s="27" t="n"/>
      <c r="GK63" s="27" t="n"/>
      <c r="GL63" s="27" t="n"/>
      <c r="GM63" s="27" t="n"/>
      <c r="GN63" s="27" t="n"/>
      <c r="GO63" s="27" t="n"/>
      <c r="GP63" s="27" t="n"/>
      <c r="GQ63" s="27" t="n"/>
      <c r="GR63" s="27" t="n"/>
      <c r="GS63" s="27" t="n"/>
      <c r="GT63" s="27" t="n"/>
      <c r="GU63" s="27" t="n"/>
      <c r="GV63" s="27" t="n"/>
      <c r="GW63" s="27" t="n"/>
      <c r="GX63" s="27" t="n"/>
      <c r="GY63" s="27" t="n"/>
      <c r="GZ63" s="27" t="n"/>
      <c r="HA63" s="27" t="n"/>
      <c r="HB63" s="27" t="n"/>
      <c r="HC63" s="27" t="n"/>
      <c r="HD63" s="27" t="n"/>
      <c r="HE63" s="27" t="n"/>
      <c r="HF63" s="27" t="n"/>
      <c r="HG63" s="27" t="n"/>
      <c r="HH63" s="27" t="n"/>
      <c r="HI63" s="27" t="n"/>
      <c r="HJ63" s="27" t="n"/>
      <c r="HK63" s="27" t="n"/>
      <c r="HL63" s="27" t="n"/>
      <c r="HM63" s="27" t="n"/>
      <c r="HN63" s="27" t="n"/>
      <c r="HO63" s="27" t="n"/>
      <c r="HP63" s="27" t="n"/>
      <c r="HQ63" s="27" t="n"/>
      <c r="HR63" s="27" t="n"/>
      <c r="HS63" s="27" t="n"/>
      <c r="HT63" s="27" t="n"/>
      <c r="HU63" s="27" t="n"/>
      <c r="HV63" s="27" t="n"/>
      <c r="HW63" s="27" t="n"/>
      <c r="HX63" s="27" t="n"/>
      <c r="HY63" s="27" t="n"/>
      <c r="HZ63" s="27" t="n"/>
      <c r="IA63" s="27" t="n"/>
      <c r="IB63" s="27" t="n"/>
      <c r="IC63" s="27" t="n"/>
      <c r="ID63" s="27" t="n"/>
      <c r="IE63" s="27" t="n"/>
      <c r="IF63" s="27" t="n"/>
      <c r="IG63" s="27" t="n"/>
      <c r="IH63" s="27" t="n"/>
      <c r="II63" s="27" t="n"/>
      <c r="IJ63" s="27" t="n"/>
      <c r="IK63" s="27" t="n"/>
      <c r="IL63" s="27" t="n"/>
      <c r="IM63" s="27" t="n"/>
      <c r="IN63" s="27" t="n"/>
      <c r="IO63" s="27" t="n"/>
      <c r="IP63" s="27" t="n"/>
      <c r="IQ63" s="27" t="n"/>
      <c r="IR63" s="27" t="n"/>
      <c r="IS63" s="27" t="n"/>
      <c r="IT63" s="27" t="n"/>
      <c r="IU63" s="27" t="n"/>
      <c r="IV63" s="27" t="n"/>
    </row>
    <row r="64" ht="13" customHeight="1" s="195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  <c r="AA64" s="27" t="n"/>
      <c r="AB64" s="27" t="n"/>
      <c r="AC64" s="27" t="n"/>
      <c r="AD64" s="27" t="n"/>
      <c r="AE64" s="27" t="n"/>
      <c r="AF64" s="27" t="n"/>
      <c r="AG64" s="27" t="n"/>
      <c r="AH64" s="27" t="n"/>
      <c r="AI64" s="27" t="n"/>
      <c r="AJ64" s="27" t="n"/>
      <c r="AK64" s="27" t="n"/>
      <c r="AL64" s="27" t="n"/>
      <c r="AM64" s="27" t="n"/>
      <c r="AN64" s="27" t="n"/>
      <c r="AO64" s="27" t="n"/>
      <c r="AP64" s="27" t="n"/>
      <c r="AQ64" s="27" t="n"/>
      <c r="AR64" s="27" t="n"/>
      <c r="AS64" s="27" t="n"/>
      <c r="AT64" s="27" t="n"/>
      <c r="AU64" s="27" t="n"/>
      <c r="AV64" s="27" t="n"/>
      <c r="AW64" s="27" t="n"/>
      <c r="AX64" s="27" t="n"/>
      <c r="AY64" s="27" t="n"/>
      <c r="AZ64" s="27" t="n"/>
      <c r="BA64" s="27" t="n"/>
      <c r="BB64" s="27" t="n"/>
      <c r="BC64" s="27" t="n"/>
      <c r="BD64" s="27" t="n"/>
      <c r="BE64" s="27" t="n"/>
      <c r="BF64" s="27" t="n"/>
      <c r="BG64" s="27" t="n"/>
      <c r="BH64" s="27" t="n"/>
      <c r="BI64" s="27" t="n"/>
      <c r="BJ64" s="27" t="n"/>
      <c r="BK64" s="27" t="n"/>
      <c r="BL64" s="27" t="n"/>
      <c r="BM64" s="27" t="n"/>
      <c r="BN64" s="27" t="n"/>
      <c r="BO64" s="27" t="n"/>
      <c r="BP64" s="27" t="n"/>
      <c r="BQ64" s="27" t="n"/>
      <c r="BR64" s="27" t="n"/>
      <c r="BS64" s="27" t="n"/>
      <c r="BT64" s="27" t="n"/>
      <c r="BU64" s="27" t="n"/>
      <c r="BV64" s="27" t="n"/>
      <c r="BW64" s="27" t="n"/>
      <c r="BX64" s="27" t="n"/>
      <c r="BY64" s="27" t="n"/>
      <c r="BZ64" s="27" t="n"/>
      <c r="CA64" s="27" t="n"/>
      <c r="CB64" s="27" t="n"/>
      <c r="CC64" s="27" t="n"/>
      <c r="CD64" s="27" t="n"/>
      <c r="CE64" s="27" t="n"/>
      <c r="CF64" s="27" t="n"/>
      <c r="CG64" s="27" t="n"/>
      <c r="CH64" s="27" t="n"/>
      <c r="CI64" s="27" t="n"/>
      <c r="CJ64" s="27" t="n"/>
      <c r="CK64" s="27" t="n"/>
      <c r="CL64" s="27" t="n"/>
      <c r="CM64" s="27" t="n"/>
      <c r="CN64" s="27" t="n"/>
      <c r="CO64" s="27" t="n"/>
      <c r="CP64" s="27" t="n"/>
      <c r="CQ64" s="27" t="n"/>
      <c r="CR64" s="27" t="n"/>
      <c r="CS64" s="27" t="n"/>
      <c r="CT64" s="27" t="n"/>
      <c r="CU64" s="27" t="n"/>
      <c r="CV64" s="27" t="n"/>
      <c r="CW64" s="27" t="n"/>
      <c r="CX64" s="27" t="n"/>
      <c r="CY64" s="27" t="n"/>
      <c r="CZ64" s="27" t="n"/>
      <c r="DA64" s="27" t="n"/>
      <c r="DB64" s="27" t="n"/>
      <c r="DC64" s="27" t="n"/>
      <c r="DD64" s="27" t="n"/>
      <c r="DE64" s="27" t="n"/>
      <c r="DF64" s="27" t="n"/>
      <c r="DG64" s="27" t="n"/>
      <c r="DH64" s="27" t="n"/>
      <c r="DI64" s="27" t="n"/>
      <c r="DJ64" s="27" t="n"/>
      <c r="DK64" s="27" t="n"/>
      <c r="DL64" s="27" t="n"/>
      <c r="DM64" s="27" t="n"/>
      <c r="DN64" s="27" t="n"/>
      <c r="DO64" s="27" t="n"/>
      <c r="DP64" s="27" t="n"/>
      <c r="DQ64" s="27" t="n"/>
      <c r="DR64" s="27" t="n"/>
      <c r="DS64" s="27" t="n"/>
      <c r="DT64" s="27" t="n"/>
      <c r="DU64" s="27" t="n"/>
      <c r="DV64" s="27" t="n"/>
      <c r="DW64" s="27" t="n"/>
      <c r="DX64" s="27" t="n"/>
      <c r="DY64" s="27" t="n"/>
      <c r="DZ64" s="27" t="n"/>
      <c r="EA64" s="27" t="n"/>
      <c r="EB64" s="27" t="n"/>
      <c r="EC64" s="27" t="n"/>
      <c r="ED64" s="27" t="n"/>
      <c r="EE64" s="27" t="n"/>
      <c r="EF64" s="27" t="n"/>
      <c r="EG64" s="27" t="n"/>
      <c r="EH64" s="27" t="n"/>
      <c r="EI64" s="27" t="n"/>
      <c r="EJ64" s="27" t="n"/>
      <c r="EK64" s="27" t="n"/>
      <c r="EL64" s="27" t="n"/>
      <c r="EM64" s="27" t="n"/>
      <c r="EN64" s="27" t="n"/>
      <c r="EO64" s="27" t="n"/>
      <c r="EP64" s="27" t="n"/>
      <c r="EQ64" s="27" t="n"/>
      <c r="ER64" s="27" t="n"/>
      <c r="ES64" s="27" t="n"/>
      <c r="ET64" s="27" t="n"/>
      <c r="EU64" s="27" t="n"/>
      <c r="EV64" s="27" t="n"/>
      <c r="EW64" s="27" t="n"/>
      <c r="EX64" s="27" t="n"/>
      <c r="EY64" s="27" t="n"/>
      <c r="EZ64" s="27" t="n"/>
      <c r="FA64" s="27" t="n"/>
      <c r="FB64" s="27" t="n"/>
      <c r="FC64" s="27" t="n"/>
      <c r="FD64" s="27" t="n"/>
      <c r="FE64" s="27" t="n"/>
      <c r="FF64" s="27" t="n"/>
      <c r="FG64" s="27" t="n"/>
      <c r="FH64" s="27" t="n"/>
      <c r="FI64" s="27" t="n"/>
      <c r="FJ64" s="27" t="n"/>
      <c r="FK64" s="27" t="n"/>
      <c r="FL64" s="27" t="n"/>
      <c r="FM64" s="27" t="n"/>
      <c r="FN64" s="27" t="n"/>
      <c r="FO64" s="27" t="n"/>
      <c r="FP64" s="27" t="n"/>
      <c r="FQ64" s="27" t="n"/>
      <c r="FR64" s="27" t="n"/>
      <c r="FS64" s="27" t="n"/>
      <c r="FT64" s="27" t="n"/>
      <c r="FU64" s="27" t="n"/>
      <c r="FV64" s="27" t="n"/>
      <c r="FW64" s="27" t="n"/>
      <c r="FX64" s="27" t="n"/>
      <c r="FY64" s="27" t="n"/>
      <c r="FZ64" s="27" t="n"/>
      <c r="GA64" s="27" t="n"/>
      <c r="GB64" s="27" t="n"/>
      <c r="GC64" s="27" t="n"/>
      <c r="GD64" s="27" t="n"/>
      <c r="GE64" s="27" t="n"/>
      <c r="GF64" s="27" t="n"/>
      <c r="GG64" s="27" t="n"/>
      <c r="GH64" s="27" t="n"/>
      <c r="GI64" s="27" t="n"/>
      <c r="GJ64" s="27" t="n"/>
      <c r="GK64" s="27" t="n"/>
      <c r="GL64" s="27" t="n"/>
      <c r="GM64" s="27" t="n"/>
      <c r="GN64" s="27" t="n"/>
      <c r="GO64" s="27" t="n"/>
      <c r="GP64" s="27" t="n"/>
      <c r="GQ64" s="27" t="n"/>
      <c r="GR64" s="27" t="n"/>
      <c r="GS64" s="27" t="n"/>
      <c r="GT64" s="27" t="n"/>
      <c r="GU64" s="27" t="n"/>
      <c r="GV64" s="27" t="n"/>
      <c r="GW64" s="27" t="n"/>
      <c r="GX64" s="27" t="n"/>
      <c r="GY64" s="27" t="n"/>
      <c r="GZ64" s="27" t="n"/>
      <c r="HA64" s="27" t="n"/>
      <c r="HB64" s="27" t="n"/>
      <c r="HC64" s="27" t="n"/>
      <c r="HD64" s="27" t="n"/>
      <c r="HE64" s="27" t="n"/>
      <c r="HF64" s="27" t="n"/>
      <c r="HG64" s="27" t="n"/>
      <c r="HH64" s="27" t="n"/>
      <c r="HI64" s="27" t="n"/>
      <c r="HJ64" s="27" t="n"/>
      <c r="HK64" s="27" t="n"/>
      <c r="HL64" s="27" t="n"/>
      <c r="HM64" s="27" t="n"/>
      <c r="HN64" s="27" t="n"/>
      <c r="HO64" s="27" t="n"/>
      <c r="HP64" s="27" t="n"/>
      <c r="HQ64" s="27" t="n"/>
      <c r="HR64" s="27" t="n"/>
      <c r="HS64" s="27" t="n"/>
      <c r="HT64" s="27" t="n"/>
      <c r="HU64" s="27" t="n"/>
      <c r="HV64" s="27" t="n"/>
      <c r="HW64" s="27" t="n"/>
      <c r="HX64" s="27" t="n"/>
      <c r="HY64" s="27" t="n"/>
      <c r="HZ64" s="27" t="n"/>
      <c r="IA64" s="27" t="n"/>
      <c r="IB64" s="27" t="n"/>
      <c r="IC64" s="27" t="n"/>
      <c r="ID64" s="27" t="n"/>
      <c r="IE64" s="27" t="n"/>
      <c r="IF64" s="27" t="n"/>
      <c r="IG64" s="27" t="n"/>
      <c r="IH64" s="27" t="n"/>
      <c r="II64" s="27" t="n"/>
      <c r="IJ64" s="27" t="n"/>
      <c r="IK64" s="27" t="n"/>
      <c r="IL64" s="27" t="n"/>
      <c r="IM64" s="27" t="n"/>
      <c r="IN64" s="27" t="n"/>
      <c r="IO64" s="27" t="n"/>
      <c r="IP64" s="27" t="n"/>
      <c r="IQ64" s="27" t="n"/>
      <c r="IR64" s="27" t="n"/>
      <c r="IS64" s="27" t="n"/>
      <c r="IT64" s="27" t="n"/>
      <c r="IU64" s="27" t="n"/>
      <c r="IV64" s="27" t="n"/>
    </row>
    <row r="65" ht="13" customHeight="1" s="195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  <c r="AA65" s="27" t="n"/>
      <c r="AB65" s="27" t="n"/>
      <c r="AC65" s="27" t="n"/>
      <c r="AD65" s="27" t="n"/>
      <c r="AE65" s="27" t="n"/>
      <c r="AF65" s="27" t="n"/>
      <c r="AG65" s="27" t="n"/>
      <c r="AH65" s="27" t="n"/>
      <c r="AI65" s="27" t="n"/>
      <c r="AJ65" s="27" t="n"/>
      <c r="AK65" s="27" t="n"/>
      <c r="AL65" s="27" t="n"/>
      <c r="AM65" s="27" t="n"/>
      <c r="AN65" s="27" t="n"/>
      <c r="AO65" s="27" t="n"/>
      <c r="AP65" s="27" t="n"/>
      <c r="AQ65" s="27" t="n"/>
      <c r="AR65" s="27" t="n"/>
      <c r="AS65" s="27" t="n"/>
      <c r="AT65" s="27" t="n"/>
      <c r="AU65" s="27" t="n"/>
      <c r="AV65" s="27" t="n"/>
      <c r="AW65" s="27" t="n"/>
      <c r="AX65" s="27" t="n"/>
      <c r="AY65" s="27" t="n"/>
      <c r="AZ65" s="27" t="n"/>
      <c r="BA65" s="27" t="n"/>
      <c r="BB65" s="27" t="n"/>
      <c r="BC65" s="27" t="n"/>
      <c r="BD65" s="27" t="n"/>
      <c r="BE65" s="27" t="n"/>
      <c r="BF65" s="27" t="n"/>
      <c r="BG65" s="27" t="n"/>
      <c r="BH65" s="27" t="n"/>
      <c r="BI65" s="27" t="n"/>
      <c r="BJ65" s="27" t="n"/>
      <c r="BK65" s="27" t="n"/>
      <c r="BL65" s="27" t="n"/>
      <c r="BM65" s="27" t="n"/>
      <c r="BN65" s="27" t="n"/>
      <c r="BO65" s="27" t="n"/>
      <c r="BP65" s="27" t="n"/>
      <c r="BQ65" s="27" t="n"/>
      <c r="BR65" s="27" t="n"/>
      <c r="BS65" s="27" t="n"/>
      <c r="BT65" s="27" t="n"/>
      <c r="BU65" s="27" t="n"/>
      <c r="BV65" s="27" t="n"/>
      <c r="BW65" s="27" t="n"/>
      <c r="BX65" s="27" t="n"/>
      <c r="BY65" s="27" t="n"/>
      <c r="BZ65" s="27" t="n"/>
      <c r="CA65" s="27" t="n"/>
      <c r="CB65" s="27" t="n"/>
      <c r="CC65" s="27" t="n"/>
      <c r="CD65" s="27" t="n"/>
      <c r="CE65" s="27" t="n"/>
      <c r="CF65" s="27" t="n"/>
      <c r="CG65" s="27" t="n"/>
      <c r="CH65" s="27" t="n"/>
      <c r="CI65" s="27" t="n"/>
      <c r="CJ65" s="27" t="n"/>
      <c r="CK65" s="27" t="n"/>
      <c r="CL65" s="27" t="n"/>
      <c r="CM65" s="27" t="n"/>
      <c r="CN65" s="27" t="n"/>
      <c r="CO65" s="27" t="n"/>
      <c r="CP65" s="27" t="n"/>
      <c r="CQ65" s="27" t="n"/>
      <c r="CR65" s="27" t="n"/>
      <c r="CS65" s="27" t="n"/>
      <c r="CT65" s="27" t="n"/>
      <c r="CU65" s="27" t="n"/>
      <c r="CV65" s="27" t="n"/>
      <c r="CW65" s="27" t="n"/>
      <c r="CX65" s="27" t="n"/>
      <c r="CY65" s="27" t="n"/>
      <c r="CZ65" s="27" t="n"/>
      <c r="DA65" s="27" t="n"/>
      <c r="DB65" s="27" t="n"/>
      <c r="DC65" s="27" t="n"/>
      <c r="DD65" s="27" t="n"/>
      <c r="DE65" s="27" t="n"/>
      <c r="DF65" s="27" t="n"/>
      <c r="DG65" s="27" t="n"/>
      <c r="DH65" s="27" t="n"/>
      <c r="DI65" s="27" t="n"/>
      <c r="DJ65" s="27" t="n"/>
      <c r="DK65" s="27" t="n"/>
      <c r="DL65" s="27" t="n"/>
      <c r="DM65" s="27" t="n"/>
      <c r="DN65" s="27" t="n"/>
      <c r="DO65" s="27" t="n"/>
      <c r="DP65" s="27" t="n"/>
      <c r="DQ65" s="27" t="n"/>
      <c r="DR65" s="27" t="n"/>
      <c r="DS65" s="27" t="n"/>
      <c r="DT65" s="27" t="n"/>
      <c r="DU65" s="27" t="n"/>
      <c r="DV65" s="27" t="n"/>
      <c r="DW65" s="27" t="n"/>
      <c r="DX65" s="27" t="n"/>
      <c r="DY65" s="27" t="n"/>
      <c r="DZ65" s="27" t="n"/>
      <c r="EA65" s="27" t="n"/>
      <c r="EB65" s="27" t="n"/>
      <c r="EC65" s="27" t="n"/>
      <c r="ED65" s="27" t="n"/>
      <c r="EE65" s="27" t="n"/>
      <c r="EF65" s="27" t="n"/>
      <c r="EG65" s="27" t="n"/>
      <c r="EH65" s="27" t="n"/>
      <c r="EI65" s="27" t="n"/>
      <c r="EJ65" s="27" t="n"/>
      <c r="EK65" s="27" t="n"/>
      <c r="EL65" s="27" t="n"/>
      <c r="EM65" s="27" t="n"/>
      <c r="EN65" s="27" t="n"/>
      <c r="EO65" s="27" t="n"/>
      <c r="EP65" s="27" t="n"/>
      <c r="EQ65" s="27" t="n"/>
      <c r="ER65" s="27" t="n"/>
      <c r="ES65" s="27" t="n"/>
      <c r="ET65" s="27" t="n"/>
      <c r="EU65" s="27" t="n"/>
      <c r="EV65" s="27" t="n"/>
      <c r="EW65" s="27" t="n"/>
      <c r="EX65" s="27" t="n"/>
      <c r="EY65" s="27" t="n"/>
      <c r="EZ65" s="27" t="n"/>
      <c r="FA65" s="27" t="n"/>
      <c r="FB65" s="27" t="n"/>
      <c r="FC65" s="27" t="n"/>
      <c r="FD65" s="27" t="n"/>
      <c r="FE65" s="27" t="n"/>
      <c r="FF65" s="27" t="n"/>
      <c r="FG65" s="27" t="n"/>
      <c r="FH65" s="27" t="n"/>
      <c r="FI65" s="27" t="n"/>
      <c r="FJ65" s="27" t="n"/>
      <c r="FK65" s="27" t="n"/>
      <c r="FL65" s="27" t="n"/>
      <c r="FM65" s="27" t="n"/>
      <c r="FN65" s="27" t="n"/>
      <c r="FO65" s="27" t="n"/>
      <c r="FP65" s="27" t="n"/>
      <c r="FQ65" s="27" t="n"/>
      <c r="FR65" s="27" t="n"/>
      <c r="FS65" s="27" t="n"/>
      <c r="FT65" s="27" t="n"/>
      <c r="FU65" s="27" t="n"/>
      <c r="FV65" s="27" t="n"/>
      <c r="FW65" s="27" t="n"/>
      <c r="FX65" s="27" t="n"/>
      <c r="FY65" s="27" t="n"/>
      <c r="FZ65" s="27" t="n"/>
      <c r="GA65" s="27" t="n"/>
      <c r="GB65" s="27" t="n"/>
      <c r="GC65" s="27" t="n"/>
      <c r="GD65" s="27" t="n"/>
      <c r="GE65" s="27" t="n"/>
      <c r="GF65" s="27" t="n"/>
      <c r="GG65" s="27" t="n"/>
      <c r="GH65" s="27" t="n"/>
      <c r="GI65" s="27" t="n"/>
      <c r="GJ65" s="27" t="n"/>
      <c r="GK65" s="27" t="n"/>
      <c r="GL65" s="27" t="n"/>
      <c r="GM65" s="27" t="n"/>
      <c r="GN65" s="27" t="n"/>
      <c r="GO65" s="27" t="n"/>
      <c r="GP65" s="27" t="n"/>
      <c r="GQ65" s="27" t="n"/>
      <c r="GR65" s="27" t="n"/>
      <c r="GS65" s="27" t="n"/>
      <c r="GT65" s="27" t="n"/>
      <c r="GU65" s="27" t="n"/>
      <c r="GV65" s="27" t="n"/>
      <c r="GW65" s="27" t="n"/>
      <c r="GX65" s="27" t="n"/>
      <c r="GY65" s="27" t="n"/>
      <c r="GZ65" s="27" t="n"/>
      <c r="HA65" s="27" t="n"/>
      <c r="HB65" s="27" t="n"/>
      <c r="HC65" s="27" t="n"/>
      <c r="HD65" s="27" t="n"/>
      <c r="HE65" s="27" t="n"/>
      <c r="HF65" s="27" t="n"/>
      <c r="HG65" s="27" t="n"/>
      <c r="HH65" s="27" t="n"/>
      <c r="HI65" s="27" t="n"/>
      <c r="HJ65" s="27" t="n"/>
      <c r="HK65" s="27" t="n"/>
      <c r="HL65" s="27" t="n"/>
      <c r="HM65" s="27" t="n"/>
      <c r="HN65" s="27" t="n"/>
      <c r="HO65" s="27" t="n"/>
      <c r="HP65" s="27" t="n"/>
      <c r="HQ65" s="27" t="n"/>
      <c r="HR65" s="27" t="n"/>
      <c r="HS65" s="27" t="n"/>
      <c r="HT65" s="27" t="n"/>
      <c r="HU65" s="27" t="n"/>
      <c r="HV65" s="27" t="n"/>
      <c r="HW65" s="27" t="n"/>
      <c r="HX65" s="27" t="n"/>
      <c r="HY65" s="27" t="n"/>
      <c r="HZ65" s="27" t="n"/>
      <c r="IA65" s="27" t="n"/>
      <c r="IB65" s="27" t="n"/>
      <c r="IC65" s="27" t="n"/>
      <c r="ID65" s="27" t="n"/>
      <c r="IE65" s="27" t="n"/>
      <c r="IF65" s="27" t="n"/>
      <c r="IG65" s="27" t="n"/>
      <c r="IH65" s="27" t="n"/>
      <c r="II65" s="27" t="n"/>
      <c r="IJ65" s="27" t="n"/>
      <c r="IK65" s="27" t="n"/>
      <c r="IL65" s="27" t="n"/>
      <c r="IM65" s="27" t="n"/>
      <c r="IN65" s="27" t="n"/>
      <c r="IO65" s="27" t="n"/>
      <c r="IP65" s="27" t="n"/>
      <c r="IQ65" s="27" t="n"/>
      <c r="IR65" s="27" t="n"/>
      <c r="IS65" s="27" t="n"/>
      <c r="IT65" s="27" t="n"/>
      <c r="IU65" s="27" t="n"/>
      <c r="IV65" s="27" t="n"/>
    </row>
    <row r="66" ht="13" customHeight="1" s="195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  <c r="AA66" s="27" t="n"/>
      <c r="AB66" s="27" t="n"/>
      <c r="AC66" s="27" t="n"/>
      <c r="AD66" s="27" t="n"/>
      <c r="AE66" s="27" t="n"/>
      <c r="AF66" s="27" t="n"/>
      <c r="AG66" s="27" t="n"/>
      <c r="AH66" s="27" t="n"/>
      <c r="AI66" s="27" t="n"/>
      <c r="AJ66" s="27" t="n"/>
      <c r="AK66" s="27" t="n"/>
      <c r="AL66" s="27" t="n"/>
      <c r="AM66" s="27" t="n"/>
      <c r="AN66" s="27" t="n"/>
      <c r="AO66" s="27" t="n"/>
      <c r="AP66" s="27" t="n"/>
      <c r="AQ66" s="27" t="n"/>
      <c r="AR66" s="27" t="n"/>
      <c r="AS66" s="27" t="n"/>
      <c r="AT66" s="27" t="n"/>
      <c r="AU66" s="27" t="n"/>
      <c r="AV66" s="27" t="n"/>
      <c r="AW66" s="27" t="n"/>
      <c r="AX66" s="27" t="n"/>
      <c r="AY66" s="27" t="n"/>
      <c r="AZ66" s="27" t="n"/>
      <c r="BA66" s="27" t="n"/>
      <c r="BB66" s="27" t="n"/>
      <c r="BC66" s="27" t="n"/>
      <c r="BD66" s="27" t="n"/>
      <c r="BE66" s="27" t="n"/>
      <c r="BF66" s="27" t="n"/>
      <c r="BG66" s="27" t="n"/>
      <c r="BH66" s="27" t="n"/>
      <c r="BI66" s="27" t="n"/>
      <c r="BJ66" s="27" t="n"/>
      <c r="BK66" s="27" t="n"/>
      <c r="BL66" s="27" t="n"/>
      <c r="BM66" s="27" t="n"/>
      <c r="BN66" s="27" t="n"/>
      <c r="BO66" s="27" t="n"/>
      <c r="BP66" s="27" t="n"/>
      <c r="BQ66" s="27" t="n"/>
      <c r="BR66" s="27" t="n"/>
      <c r="BS66" s="27" t="n"/>
      <c r="BT66" s="27" t="n"/>
      <c r="BU66" s="27" t="n"/>
      <c r="BV66" s="27" t="n"/>
      <c r="BW66" s="27" t="n"/>
      <c r="BX66" s="27" t="n"/>
      <c r="BY66" s="27" t="n"/>
      <c r="BZ66" s="27" t="n"/>
      <c r="CA66" s="27" t="n"/>
      <c r="CB66" s="27" t="n"/>
      <c r="CC66" s="27" t="n"/>
      <c r="CD66" s="27" t="n"/>
      <c r="CE66" s="27" t="n"/>
      <c r="CF66" s="27" t="n"/>
      <c r="CG66" s="27" t="n"/>
      <c r="CH66" s="27" t="n"/>
      <c r="CI66" s="27" t="n"/>
      <c r="CJ66" s="27" t="n"/>
      <c r="CK66" s="27" t="n"/>
      <c r="CL66" s="27" t="n"/>
      <c r="CM66" s="27" t="n"/>
      <c r="CN66" s="27" t="n"/>
      <c r="CO66" s="27" t="n"/>
      <c r="CP66" s="27" t="n"/>
      <c r="CQ66" s="27" t="n"/>
      <c r="CR66" s="27" t="n"/>
      <c r="CS66" s="27" t="n"/>
      <c r="CT66" s="27" t="n"/>
      <c r="CU66" s="27" t="n"/>
      <c r="CV66" s="27" t="n"/>
      <c r="CW66" s="27" t="n"/>
      <c r="CX66" s="27" t="n"/>
      <c r="CY66" s="27" t="n"/>
      <c r="CZ66" s="27" t="n"/>
      <c r="DA66" s="27" t="n"/>
      <c r="DB66" s="27" t="n"/>
      <c r="DC66" s="27" t="n"/>
      <c r="DD66" s="27" t="n"/>
      <c r="DE66" s="27" t="n"/>
      <c r="DF66" s="27" t="n"/>
      <c r="DG66" s="27" t="n"/>
      <c r="DH66" s="27" t="n"/>
      <c r="DI66" s="27" t="n"/>
      <c r="DJ66" s="27" t="n"/>
      <c r="DK66" s="27" t="n"/>
      <c r="DL66" s="27" t="n"/>
      <c r="DM66" s="27" t="n"/>
      <c r="DN66" s="27" t="n"/>
      <c r="DO66" s="27" t="n"/>
      <c r="DP66" s="27" t="n"/>
      <c r="DQ66" s="27" t="n"/>
      <c r="DR66" s="27" t="n"/>
      <c r="DS66" s="27" t="n"/>
      <c r="DT66" s="27" t="n"/>
      <c r="DU66" s="27" t="n"/>
      <c r="DV66" s="27" t="n"/>
      <c r="DW66" s="27" t="n"/>
      <c r="DX66" s="27" t="n"/>
      <c r="DY66" s="27" t="n"/>
      <c r="DZ66" s="27" t="n"/>
      <c r="EA66" s="27" t="n"/>
      <c r="EB66" s="27" t="n"/>
      <c r="EC66" s="27" t="n"/>
      <c r="ED66" s="27" t="n"/>
      <c r="EE66" s="27" t="n"/>
      <c r="EF66" s="27" t="n"/>
      <c r="EG66" s="27" t="n"/>
      <c r="EH66" s="27" t="n"/>
      <c r="EI66" s="27" t="n"/>
      <c r="EJ66" s="27" t="n"/>
      <c r="EK66" s="27" t="n"/>
      <c r="EL66" s="27" t="n"/>
      <c r="EM66" s="27" t="n"/>
      <c r="EN66" s="27" t="n"/>
      <c r="EO66" s="27" t="n"/>
      <c r="EP66" s="27" t="n"/>
      <c r="EQ66" s="27" t="n"/>
      <c r="ER66" s="27" t="n"/>
      <c r="ES66" s="27" t="n"/>
      <c r="ET66" s="27" t="n"/>
      <c r="EU66" s="27" t="n"/>
      <c r="EV66" s="27" t="n"/>
      <c r="EW66" s="27" t="n"/>
      <c r="EX66" s="27" t="n"/>
      <c r="EY66" s="27" t="n"/>
      <c r="EZ66" s="27" t="n"/>
      <c r="FA66" s="27" t="n"/>
      <c r="FB66" s="27" t="n"/>
      <c r="FC66" s="27" t="n"/>
      <c r="FD66" s="27" t="n"/>
      <c r="FE66" s="27" t="n"/>
      <c r="FF66" s="27" t="n"/>
      <c r="FG66" s="27" t="n"/>
      <c r="FH66" s="27" t="n"/>
      <c r="FI66" s="27" t="n"/>
      <c r="FJ66" s="27" t="n"/>
      <c r="FK66" s="27" t="n"/>
      <c r="FL66" s="27" t="n"/>
      <c r="FM66" s="27" t="n"/>
      <c r="FN66" s="27" t="n"/>
      <c r="FO66" s="27" t="n"/>
      <c r="FP66" s="27" t="n"/>
      <c r="FQ66" s="27" t="n"/>
      <c r="FR66" s="27" t="n"/>
      <c r="FS66" s="27" t="n"/>
      <c r="FT66" s="27" t="n"/>
      <c r="FU66" s="27" t="n"/>
      <c r="FV66" s="27" t="n"/>
      <c r="FW66" s="27" t="n"/>
      <c r="FX66" s="27" t="n"/>
      <c r="FY66" s="27" t="n"/>
      <c r="FZ66" s="27" t="n"/>
      <c r="GA66" s="27" t="n"/>
      <c r="GB66" s="27" t="n"/>
      <c r="GC66" s="27" t="n"/>
      <c r="GD66" s="27" t="n"/>
      <c r="GE66" s="27" t="n"/>
      <c r="GF66" s="27" t="n"/>
      <c r="GG66" s="27" t="n"/>
      <c r="GH66" s="27" t="n"/>
      <c r="GI66" s="27" t="n"/>
      <c r="GJ66" s="27" t="n"/>
      <c r="GK66" s="27" t="n"/>
      <c r="GL66" s="27" t="n"/>
      <c r="GM66" s="27" t="n"/>
      <c r="GN66" s="27" t="n"/>
      <c r="GO66" s="27" t="n"/>
      <c r="GP66" s="27" t="n"/>
      <c r="GQ66" s="27" t="n"/>
      <c r="GR66" s="27" t="n"/>
      <c r="GS66" s="27" t="n"/>
      <c r="GT66" s="27" t="n"/>
      <c r="GU66" s="27" t="n"/>
      <c r="GV66" s="27" t="n"/>
      <c r="GW66" s="27" t="n"/>
      <c r="GX66" s="27" t="n"/>
      <c r="GY66" s="27" t="n"/>
      <c r="GZ66" s="27" t="n"/>
      <c r="HA66" s="27" t="n"/>
      <c r="HB66" s="27" t="n"/>
      <c r="HC66" s="27" t="n"/>
      <c r="HD66" s="27" t="n"/>
      <c r="HE66" s="27" t="n"/>
      <c r="HF66" s="27" t="n"/>
      <c r="HG66" s="27" t="n"/>
      <c r="HH66" s="27" t="n"/>
      <c r="HI66" s="27" t="n"/>
      <c r="HJ66" s="27" t="n"/>
      <c r="HK66" s="27" t="n"/>
      <c r="HL66" s="27" t="n"/>
      <c r="HM66" s="27" t="n"/>
      <c r="HN66" s="27" t="n"/>
      <c r="HO66" s="27" t="n"/>
      <c r="HP66" s="27" t="n"/>
      <c r="HQ66" s="27" t="n"/>
      <c r="HR66" s="27" t="n"/>
      <c r="HS66" s="27" t="n"/>
      <c r="HT66" s="27" t="n"/>
      <c r="HU66" s="27" t="n"/>
      <c r="HV66" s="27" t="n"/>
      <c r="HW66" s="27" t="n"/>
      <c r="HX66" s="27" t="n"/>
      <c r="HY66" s="27" t="n"/>
      <c r="HZ66" s="27" t="n"/>
      <c r="IA66" s="27" t="n"/>
      <c r="IB66" s="27" t="n"/>
      <c r="IC66" s="27" t="n"/>
      <c r="ID66" s="27" t="n"/>
      <c r="IE66" s="27" t="n"/>
      <c r="IF66" s="27" t="n"/>
      <c r="IG66" s="27" t="n"/>
      <c r="IH66" s="27" t="n"/>
      <c r="II66" s="27" t="n"/>
      <c r="IJ66" s="27" t="n"/>
      <c r="IK66" s="27" t="n"/>
      <c r="IL66" s="27" t="n"/>
      <c r="IM66" s="27" t="n"/>
      <c r="IN66" s="27" t="n"/>
      <c r="IO66" s="27" t="n"/>
      <c r="IP66" s="27" t="n"/>
      <c r="IQ66" s="27" t="n"/>
      <c r="IR66" s="27" t="n"/>
      <c r="IS66" s="27" t="n"/>
      <c r="IT66" s="27" t="n"/>
      <c r="IU66" s="27" t="n"/>
      <c r="IV66" s="27" t="n"/>
    </row>
    <row r="67" ht="13" customHeight="1" s="195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  <c r="AA67" s="27" t="n"/>
      <c r="AB67" s="27" t="n"/>
      <c r="AC67" s="27" t="n"/>
      <c r="AD67" s="27" t="n"/>
      <c r="AE67" s="27" t="n"/>
      <c r="AF67" s="27" t="n"/>
      <c r="AG67" s="27" t="n"/>
      <c r="AH67" s="27" t="n"/>
      <c r="AI67" s="27" t="n"/>
      <c r="AJ67" s="27" t="n"/>
      <c r="AK67" s="27" t="n"/>
      <c r="AL67" s="27" t="n"/>
      <c r="AM67" s="27" t="n"/>
      <c r="AN67" s="27" t="n"/>
      <c r="AO67" s="27" t="n"/>
      <c r="AP67" s="27" t="n"/>
      <c r="AQ67" s="27" t="n"/>
      <c r="AR67" s="27" t="n"/>
      <c r="AS67" s="27" t="n"/>
      <c r="AT67" s="27" t="n"/>
      <c r="AU67" s="27" t="n"/>
      <c r="AV67" s="27" t="n"/>
      <c r="AW67" s="27" t="n"/>
      <c r="AX67" s="27" t="n"/>
      <c r="AY67" s="27" t="n"/>
      <c r="AZ67" s="27" t="n"/>
      <c r="BA67" s="27" t="n"/>
      <c r="BB67" s="27" t="n"/>
      <c r="BC67" s="27" t="n"/>
      <c r="BD67" s="27" t="n"/>
      <c r="BE67" s="27" t="n"/>
      <c r="BF67" s="27" t="n"/>
      <c r="BG67" s="27" t="n"/>
      <c r="BH67" s="27" t="n"/>
      <c r="BI67" s="27" t="n"/>
      <c r="BJ67" s="27" t="n"/>
      <c r="BK67" s="27" t="n"/>
      <c r="BL67" s="27" t="n"/>
      <c r="BM67" s="27" t="n"/>
      <c r="BN67" s="27" t="n"/>
      <c r="BO67" s="27" t="n"/>
      <c r="BP67" s="27" t="n"/>
      <c r="BQ67" s="27" t="n"/>
      <c r="BR67" s="27" t="n"/>
      <c r="BS67" s="27" t="n"/>
      <c r="BT67" s="27" t="n"/>
      <c r="BU67" s="27" t="n"/>
      <c r="BV67" s="27" t="n"/>
      <c r="BW67" s="27" t="n"/>
      <c r="BX67" s="27" t="n"/>
      <c r="BY67" s="27" t="n"/>
      <c r="BZ67" s="27" t="n"/>
      <c r="CA67" s="27" t="n"/>
      <c r="CB67" s="27" t="n"/>
      <c r="CC67" s="27" t="n"/>
      <c r="CD67" s="27" t="n"/>
      <c r="CE67" s="27" t="n"/>
      <c r="CF67" s="27" t="n"/>
      <c r="CG67" s="27" t="n"/>
      <c r="CH67" s="27" t="n"/>
      <c r="CI67" s="27" t="n"/>
      <c r="CJ67" s="27" t="n"/>
      <c r="CK67" s="27" t="n"/>
      <c r="CL67" s="27" t="n"/>
      <c r="CM67" s="27" t="n"/>
      <c r="CN67" s="27" t="n"/>
      <c r="CO67" s="27" t="n"/>
      <c r="CP67" s="27" t="n"/>
      <c r="CQ67" s="27" t="n"/>
      <c r="CR67" s="27" t="n"/>
      <c r="CS67" s="27" t="n"/>
      <c r="CT67" s="27" t="n"/>
      <c r="CU67" s="27" t="n"/>
      <c r="CV67" s="27" t="n"/>
      <c r="CW67" s="27" t="n"/>
      <c r="CX67" s="27" t="n"/>
      <c r="CY67" s="27" t="n"/>
      <c r="CZ67" s="27" t="n"/>
      <c r="DA67" s="27" t="n"/>
      <c r="DB67" s="27" t="n"/>
      <c r="DC67" s="27" t="n"/>
      <c r="DD67" s="27" t="n"/>
      <c r="DE67" s="27" t="n"/>
      <c r="DF67" s="27" t="n"/>
      <c r="DG67" s="27" t="n"/>
      <c r="DH67" s="27" t="n"/>
      <c r="DI67" s="27" t="n"/>
      <c r="DJ67" s="27" t="n"/>
      <c r="DK67" s="27" t="n"/>
      <c r="DL67" s="27" t="n"/>
      <c r="DM67" s="27" t="n"/>
      <c r="DN67" s="27" t="n"/>
      <c r="DO67" s="27" t="n"/>
      <c r="DP67" s="27" t="n"/>
      <c r="DQ67" s="27" t="n"/>
      <c r="DR67" s="27" t="n"/>
      <c r="DS67" s="27" t="n"/>
      <c r="DT67" s="27" t="n"/>
      <c r="DU67" s="27" t="n"/>
      <c r="DV67" s="27" t="n"/>
      <c r="DW67" s="27" t="n"/>
      <c r="DX67" s="27" t="n"/>
      <c r="DY67" s="27" t="n"/>
      <c r="DZ67" s="27" t="n"/>
      <c r="EA67" s="27" t="n"/>
      <c r="EB67" s="27" t="n"/>
      <c r="EC67" s="27" t="n"/>
      <c r="ED67" s="27" t="n"/>
      <c r="EE67" s="27" t="n"/>
      <c r="EF67" s="27" t="n"/>
      <c r="EG67" s="27" t="n"/>
      <c r="EH67" s="27" t="n"/>
      <c r="EI67" s="27" t="n"/>
      <c r="EJ67" s="27" t="n"/>
      <c r="EK67" s="27" t="n"/>
      <c r="EL67" s="27" t="n"/>
      <c r="EM67" s="27" t="n"/>
      <c r="EN67" s="27" t="n"/>
      <c r="EO67" s="27" t="n"/>
      <c r="EP67" s="27" t="n"/>
      <c r="EQ67" s="27" t="n"/>
      <c r="ER67" s="27" t="n"/>
      <c r="ES67" s="27" t="n"/>
      <c r="ET67" s="27" t="n"/>
      <c r="EU67" s="27" t="n"/>
      <c r="EV67" s="27" t="n"/>
      <c r="EW67" s="27" t="n"/>
      <c r="EX67" s="27" t="n"/>
      <c r="EY67" s="27" t="n"/>
      <c r="EZ67" s="27" t="n"/>
      <c r="FA67" s="27" t="n"/>
      <c r="FB67" s="27" t="n"/>
      <c r="FC67" s="27" t="n"/>
      <c r="FD67" s="27" t="n"/>
      <c r="FE67" s="27" t="n"/>
      <c r="FF67" s="27" t="n"/>
      <c r="FG67" s="27" t="n"/>
      <c r="FH67" s="27" t="n"/>
      <c r="FI67" s="27" t="n"/>
      <c r="FJ67" s="27" t="n"/>
      <c r="FK67" s="27" t="n"/>
      <c r="FL67" s="27" t="n"/>
      <c r="FM67" s="27" t="n"/>
      <c r="FN67" s="27" t="n"/>
      <c r="FO67" s="27" t="n"/>
      <c r="FP67" s="27" t="n"/>
      <c r="FQ67" s="27" t="n"/>
      <c r="FR67" s="27" t="n"/>
      <c r="FS67" s="27" t="n"/>
      <c r="FT67" s="27" t="n"/>
      <c r="FU67" s="27" t="n"/>
      <c r="FV67" s="27" t="n"/>
      <c r="FW67" s="27" t="n"/>
      <c r="FX67" s="27" t="n"/>
      <c r="FY67" s="27" t="n"/>
      <c r="FZ67" s="27" t="n"/>
      <c r="GA67" s="27" t="n"/>
      <c r="GB67" s="27" t="n"/>
      <c r="GC67" s="27" t="n"/>
      <c r="GD67" s="27" t="n"/>
      <c r="GE67" s="27" t="n"/>
      <c r="GF67" s="27" t="n"/>
      <c r="GG67" s="27" t="n"/>
      <c r="GH67" s="27" t="n"/>
      <c r="GI67" s="27" t="n"/>
      <c r="GJ67" s="27" t="n"/>
      <c r="GK67" s="27" t="n"/>
      <c r="GL67" s="27" t="n"/>
      <c r="GM67" s="27" t="n"/>
      <c r="GN67" s="27" t="n"/>
      <c r="GO67" s="27" t="n"/>
      <c r="GP67" s="27" t="n"/>
      <c r="GQ67" s="27" t="n"/>
      <c r="GR67" s="27" t="n"/>
      <c r="GS67" s="27" t="n"/>
      <c r="GT67" s="27" t="n"/>
      <c r="GU67" s="27" t="n"/>
      <c r="GV67" s="27" t="n"/>
      <c r="GW67" s="27" t="n"/>
      <c r="GX67" s="27" t="n"/>
      <c r="GY67" s="27" t="n"/>
      <c r="GZ67" s="27" t="n"/>
      <c r="HA67" s="27" t="n"/>
      <c r="HB67" s="27" t="n"/>
      <c r="HC67" s="27" t="n"/>
      <c r="HD67" s="27" t="n"/>
      <c r="HE67" s="27" t="n"/>
      <c r="HF67" s="27" t="n"/>
      <c r="HG67" s="27" t="n"/>
      <c r="HH67" s="27" t="n"/>
      <c r="HI67" s="27" t="n"/>
      <c r="HJ67" s="27" t="n"/>
      <c r="HK67" s="27" t="n"/>
      <c r="HL67" s="27" t="n"/>
      <c r="HM67" s="27" t="n"/>
      <c r="HN67" s="27" t="n"/>
      <c r="HO67" s="27" t="n"/>
      <c r="HP67" s="27" t="n"/>
      <c r="HQ67" s="27" t="n"/>
      <c r="HR67" s="27" t="n"/>
      <c r="HS67" s="27" t="n"/>
      <c r="HT67" s="27" t="n"/>
      <c r="HU67" s="27" t="n"/>
      <c r="HV67" s="27" t="n"/>
      <c r="HW67" s="27" t="n"/>
      <c r="HX67" s="27" t="n"/>
      <c r="HY67" s="27" t="n"/>
      <c r="HZ67" s="27" t="n"/>
      <c r="IA67" s="27" t="n"/>
      <c r="IB67" s="27" t="n"/>
      <c r="IC67" s="27" t="n"/>
      <c r="ID67" s="27" t="n"/>
      <c r="IE67" s="27" t="n"/>
      <c r="IF67" s="27" t="n"/>
      <c r="IG67" s="27" t="n"/>
      <c r="IH67" s="27" t="n"/>
      <c r="II67" s="27" t="n"/>
      <c r="IJ67" s="27" t="n"/>
      <c r="IK67" s="27" t="n"/>
      <c r="IL67" s="27" t="n"/>
      <c r="IM67" s="27" t="n"/>
      <c r="IN67" s="27" t="n"/>
      <c r="IO67" s="27" t="n"/>
      <c r="IP67" s="27" t="n"/>
      <c r="IQ67" s="27" t="n"/>
      <c r="IR67" s="27" t="n"/>
      <c r="IS67" s="27" t="n"/>
      <c r="IT67" s="27" t="n"/>
      <c r="IU67" s="27" t="n"/>
      <c r="IV67" s="27" t="n"/>
    </row>
    <row r="68" ht="13" customHeight="1" s="195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  <c r="AA68" s="27" t="n"/>
      <c r="AB68" s="27" t="n"/>
      <c r="AC68" s="27" t="n"/>
      <c r="AD68" s="27" t="n"/>
      <c r="AE68" s="27" t="n"/>
      <c r="AF68" s="27" t="n"/>
      <c r="AG68" s="27" t="n"/>
      <c r="AH68" s="27" t="n"/>
      <c r="AI68" s="27" t="n"/>
      <c r="AJ68" s="27" t="n"/>
      <c r="AK68" s="27" t="n"/>
      <c r="AL68" s="27" t="n"/>
      <c r="AM68" s="27" t="n"/>
      <c r="AN68" s="27" t="n"/>
      <c r="AO68" s="27" t="n"/>
      <c r="AP68" s="27" t="n"/>
      <c r="AQ68" s="27" t="n"/>
      <c r="AR68" s="27" t="n"/>
      <c r="AS68" s="27" t="n"/>
      <c r="AT68" s="27" t="n"/>
      <c r="AU68" s="27" t="n"/>
      <c r="AV68" s="27" t="n"/>
      <c r="AW68" s="27" t="n"/>
      <c r="AX68" s="27" t="n"/>
      <c r="AY68" s="27" t="n"/>
      <c r="AZ68" s="27" t="n"/>
      <c r="BA68" s="27" t="n"/>
      <c r="BB68" s="27" t="n"/>
      <c r="BC68" s="27" t="n"/>
      <c r="BD68" s="27" t="n"/>
      <c r="BE68" s="27" t="n"/>
      <c r="BF68" s="27" t="n"/>
      <c r="BG68" s="27" t="n"/>
      <c r="BH68" s="27" t="n"/>
      <c r="BI68" s="27" t="n"/>
      <c r="BJ68" s="27" t="n"/>
      <c r="BK68" s="27" t="n"/>
      <c r="BL68" s="27" t="n"/>
      <c r="BM68" s="27" t="n"/>
      <c r="BN68" s="27" t="n"/>
      <c r="BO68" s="27" t="n"/>
      <c r="BP68" s="27" t="n"/>
      <c r="BQ68" s="27" t="n"/>
      <c r="BR68" s="27" t="n"/>
      <c r="BS68" s="27" t="n"/>
      <c r="BT68" s="27" t="n"/>
      <c r="BU68" s="27" t="n"/>
      <c r="BV68" s="27" t="n"/>
      <c r="BW68" s="27" t="n"/>
      <c r="BX68" s="27" t="n"/>
      <c r="BY68" s="27" t="n"/>
      <c r="BZ68" s="27" t="n"/>
      <c r="CA68" s="27" t="n"/>
      <c r="CB68" s="27" t="n"/>
      <c r="CC68" s="27" t="n"/>
      <c r="CD68" s="27" t="n"/>
      <c r="CE68" s="27" t="n"/>
      <c r="CF68" s="27" t="n"/>
      <c r="CG68" s="27" t="n"/>
      <c r="CH68" s="27" t="n"/>
      <c r="CI68" s="27" t="n"/>
      <c r="CJ68" s="27" t="n"/>
      <c r="CK68" s="27" t="n"/>
      <c r="CL68" s="27" t="n"/>
      <c r="CM68" s="27" t="n"/>
      <c r="CN68" s="27" t="n"/>
      <c r="CO68" s="27" t="n"/>
      <c r="CP68" s="27" t="n"/>
      <c r="CQ68" s="27" t="n"/>
      <c r="CR68" s="27" t="n"/>
      <c r="CS68" s="27" t="n"/>
      <c r="CT68" s="27" t="n"/>
      <c r="CU68" s="27" t="n"/>
      <c r="CV68" s="27" t="n"/>
      <c r="CW68" s="27" t="n"/>
      <c r="CX68" s="27" t="n"/>
      <c r="CY68" s="27" t="n"/>
      <c r="CZ68" s="27" t="n"/>
      <c r="DA68" s="27" t="n"/>
      <c r="DB68" s="27" t="n"/>
      <c r="DC68" s="27" t="n"/>
      <c r="DD68" s="27" t="n"/>
      <c r="DE68" s="27" t="n"/>
      <c r="DF68" s="27" t="n"/>
      <c r="DG68" s="27" t="n"/>
      <c r="DH68" s="27" t="n"/>
      <c r="DI68" s="27" t="n"/>
      <c r="DJ68" s="27" t="n"/>
      <c r="DK68" s="27" t="n"/>
      <c r="DL68" s="27" t="n"/>
      <c r="DM68" s="27" t="n"/>
      <c r="DN68" s="27" t="n"/>
      <c r="DO68" s="27" t="n"/>
      <c r="DP68" s="27" t="n"/>
      <c r="DQ68" s="27" t="n"/>
      <c r="DR68" s="27" t="n"/>
      <c r="DS68" s="27" t="n"/>
      <c r="DT68" s="27" t="n"/>
      <c r="DU68" s="27" t="n"/>
      <c r="DV68" s="27" t="n"/>
      <c r="DW68" s="27" t="n"/>
      <c r="DX68" s="27" t="n"/>
      <c r="DY68" s="27" t="n"/>
      <c r="DZ68" s="27" t="n"/>
      <c r="EA68" s="27" t="n"/>
      <c r="EB68" s="27" t="n"/>
      <c r="EC68" s="27" t="n"/>
      <c r="ED68" s="27" t="n"/>
      <c r="EE68" s="27" t="n"/>
      <c r="EF68" s="27" t="n"/>
      <c r="EG68" s="27" t="n"/>
      <c r="EH68" s="27" t="n"/>
      <c r="EI68" s="27" t="n"/>
      <c r="EJ68" s="27" t="n"/>
      <c r="EK68" s="27" t="n"/>
      <c r="EL68" s="27" t="n"/>
      <c r="EM68" s="27" t="n"/>
      <c r="EN68" s="27" t="n"/>
      <c r="EO68" s="27" t="n"/>
      <c r="EP68" s="27" t="n"/>
      <c r="EQ68" s="27" t="n"/>
      <c r="ER68" s="27" t="n"/>
      <c r="ES68" s="27" t="n"/>
      <c r="ET68" s="27" t="n"/>
      <c r="EU68" s="27" t="n"/>
      <c r="EV68" s="27" t="n"/>
      <c r="EW68" s="27" t="n"/>
      <c r="EX68" s="27" t="n"/>
      <c r="EY68" s="27" t="n"/>
      <c r="EZ68" s="27" t="n"/>
      <c r="FA68" s="27" t="n"/>
      <c r="FB68" s="27" t="n"/>
      <c r="FC68" s="27" t="n"/>
      <c r="FD68" s="27" t="n"/>
      <c r="FE68" s="27" t="n"/>
      <c r="FF68" s="27" t="n"/>
      <c r="FG68" s="27" t="n"/>
      <c r="FH68" s="27" t="n"/>
      <c r="FI68" s="27" t="n"/>
      <c r="FJ68" s="27" t="n"/>
      <c r="FK68" s="27" t="n"/>
      <c r="FL68" s="27" t="n"/>
      <c r="FM68" s="27" t="n"/>
      <c r="FN68" s="27" t="n"/>
      <c r="FO68" s="27" t="n"/>
      <c r="FP68" s="27" t="n"/>
      <c r="FQ68" s="27" t="n"/>
      <c r="FR68" s="27" t="n"/>
      <c r="FS68" s="27" t="n"/>
      <c r="FT68" s="27" t="n"/>
      <c r="FU68" s="27" t="n"/>
      <c r="FV68" s="27" t="n"/>
      <c r="FW68" s="27" t="n"/>
      <c r="FX68" s="27" t="n"/>
      <c r="FY68" s="27" t="n"/>
      <c r="FZ68" s="27" t="n"/>
      <c r="GA68" s="27" t="n"/>
      <c r="GB68" s="27" t="n"/>
      <c r="GC68" s="27" t="n"/>
      <c r="GD68" s="27" t="n"/>
      <c r="GE68" s="27" t="n"/>
      <c r="GF68" s="27" t="n"/>
      <c r="GG68" s="27" t="n"/>
      <c r="GH68" s="27" t="n"/>
      <c r="GI68" s="27" t="n"/>
      <c r="GJ68" s="27" t="n"/>
      <c r="GK68" s="27" t="n"/>
      <c r="GL68" s="27" t="n"/>
      <c r="GM68" s="27" t="n"/>
      <c r="GN68" s="27" t="n"/>
      <c r="GO68" s="27" t="n"/>
      <c r="GP68" s="27" t="n"/>
      <c r="GQ68" s="27" t="n"/>
      <c r="GR68" s="27" t="n"/>
      <c r="GS68" s="27" t="n"/>
      <c r="GT68" s="27" t="n"/>
      <c r="GU68" s="27" t="n"/>
      <c r="GV68" s="27" t="n"/>
      <c r="GW68" s="27" t="n"/>
      <c r="GX68" s="27" t="n"/>
      <c r="GY68" s="27" t="n"/>
      <c r="GZ68" s="27" t="n"/>
      <c r="HA68" s="27" t="n"/>
      <c r="HB68" s="27" t="n"/>
      <c r="HC68" s="27" t="n"/>
      <c r="HD68" s="27" t="n"/>
      <c r="HE68" s="27" t="n"/>
      <c r="HF68" s="27" t="n"/>
      <c r="HG68" s="27" t="n"/>
      <c r="HH68" s="27" t="n"/>
      <c r="HI68" s="27" t="n"/>
      <c r="HJ68" s="27" t="n"/>
      <c r="HK68" s="27" t="n"/>
      <c r="HL68" s="27" t="n"/>
      <c r="HM68" s="27" t="n"/>
      <c r="HN68" s="27" t="n"/>
      <c r="HO68" s="27" t="n"/>
      <c r="HP68" s="27" t="n"/>
      <c r="HQ68" s="27" t="n"/>
      <c r="HR68" s="27" t="n"/>
      <c r="HS68" s="27" t="n"/>
      <c r="HT68" s="27" t="n"/>
      <c r="HU68" s="27" t="n"/>
      <c r="HV68" s="27" t="n"/>
      <c r="HW68" s="27" t="n"/>
      <c r="HX68" s="27" t="n"/>
      <c r="HY68" s="27" t="n"/>
      <c r="HZ68" s="27" t="n"/>
      <c r="IA68" s="27" t="n"/>
      <c r="IB68" s="27" t="n"/>
      <c r="IC68" s="27" t="n"/>
      <c r="ID68" s="27" t="n"/>
      <c r="IE68" s="27" t="n"/>
      <c r="IF68" s="27" t="n"/>
      <c r="IG68" s="27" t="n"/>
      <c r="IH68" s="27" t="n"/>
      <c r="II68" s="27" t="n"/>
      <c r="IJ68" s="27" t="n"/>
      <c r="IK68" s="27" t="n"/>
      <c r="IL68" s="27" t="n"/>
      <c r="IM68" s="27" t="n"/>
      <c r="IN68" s="27" t="n"/>
      <c r="IO68" s="27" t="n"/>
      <c r="IP68" s="27" t="n"/>
      <c r="IQ68" s="27" t="n"/>
      <c r="IR68" s="27" t="n"/>
      <c r="IS68" s="27" t="n"/>
      <c r="IT68" s="27" t="n"/>
      <c r="IU68" s="27" t="n"/>
      <c r="IV68" s="27" t="n"/>
    </row>
    <row r="69" ht="13" customHeight="1" s="195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  <c r="AA69" s="27" t="n"/>
      <c r="AB69" s="27" t="n"/>
      <c r="AC69" s="27" t="n"/>
      <c r="AD69" s="27" t="n"/>
      <c r="AE69" s="27" t="n"/>
      <c r="AF69" s="27" t="n"/>
      <c r="AG69" s="27" t="n"/>
      <c r="AH69" s="27" t="n"/>
      <c r="AI69" s="27" t="n"/>
      <c r="AJ69" s="27" t="n"/>
      <c r="AK69" s="27" t="n"/>
      <c r="AL69" s="27" t="n"/>
      <c r="AM69" s="27" t="n"/>
      <c r="AN69" s="27" t="n"/>
      <c r="AO69" s="27" t="n"/>
      <c r="AP69" s="27" t="n"/>
      <c r="AQ69" s="27" t="n"/>
      <c r="AR69" s="27" t="n"/>
      <c r="AS69" s="27" t="n"/>
      <c r="AT69" s="27" t="n"/>
      <c r="AU69" s="27" t="n"/>
      <c r="AV69" s="27" t="n"/>
      <c r="AW69" s="27" t="n"/>
      <c r="AX69" s="27" t="n"/>
      <c r="AY69" s="27" t="n"/>
      <c r="AZ69" s="27" t="n"/>
      <c r="BA69" s="27" t="n"/>
      <c r="BB69" s="27" t="n"/>
      <c r="BC69" s="27" t="n"/>
      <c r="BD69" s="27" t="n"/>
      <c r="BE69" s="27" t="n"/>
      <c r="BF69" s="27" t="n"/>
      <c r="BG69" s="27" t="n"/>
      <c r="BH69" s="27" t="n"/>
      <c r="BI69" s="27" t="n"/>
      <c r="BJ69" s="27" t="n"/>
      <c r="BK69" s="27" t="n"/>
      <c r="BL69" s="27" t="n"/>
      <c r="BM69" s="27" t="n"/>
      <c r="BN69" s="27" t="n"/>
      <c r="BO69" s="27" t="n"/>
      <c r="BP69" s="27" t="n"/>
      <c r="BQ69" s="27" t="n"/>
      <c r="BR69" s="27" t="n"/>
      <c r="BS69" s="27" t="n"/>
      <c r="BT69" s="27" t="n"/>
      <c r="BU69" s="27" t="n"/>
      <c r="BV69" s="27" t="n"/>
      <c r="BW69" s="27" t="n"/>
      <c r="BX69" s="27" t="n"/>
      <c r="BY69" s="27" t="n"/>
      <c r="BZ69" s="27" t="n"/>
      <c r="CA69" s="27" t="n"/>
      <c r="CB69" s="27" t="n"/>
      <c r="CC69" s="27" t="n"/>
      <c r="CD69" s="27" t="n"/>
      <c r="CE69" s="27" t="n"/>
      <c r="CF69" s="27" t="n"/>
      <c r="CG69" s="27" t="n"/>
      <c r="CH69" s="27" t="n"/>
      <c r="CI69" s="27" t="n"/>
      <c r="CJ69" s="27" t="n"/>
      <c r="CK69" s="27" t="n"/>
      <c r="CL69" s="27" t="n"/>
      <c r="CM69" s="27" t="n"/>
      <c r="CN69" s="27" t="n"/>
      <c r="CO69" s="27" t="n"/>
      <c r="CP69" s="27" t="n"/>
      <c r="CQ69" s="27" t="n"/>
      <c r="CR69" s="27" t="n"/>
      <c r="CS69" s="27" t="n"/>
      <c r="CT69" s="27" t="n"/>
      <c r="CU69" s="27" t="n"/>
      <c r="CV69" s="27" t="n"/>
      <c r="CW69" s="27" t="n"/>
      <c r="CX69" s="27" t="n"/>
      <c r="CY69" s="27" t="n"/>
      <c r="CZ69" s="27" t="n"/>
      <c r="DA69" s="27" t="n"/>
      <c r="DB69" s="27" t="n"/>
      <c r="DC69" s="27" t="n"/>
      <c r="DD69" s="27" t="n"/>
      <c r="DE69" s="27" t="n"/>
      <c r="DF69" s="27" t="n"/>
      <c r="DG69" s="27" t="n"/>
      <c r="DH69" s="27" t="n"/>
      <c r="DI69" s="27" t="n"/>
      <c r="DJ69" s="27" t="n"/>
      <c r="DK69" s="27" t="n"/>
      <c r="DL69" s="27" t="n"/>
      <c r="DM69" s="27" t="n"/>
      <c r="DN69" s="27" t="n"/>
      <c r="DO69" s="27" t="n"/>
      <c r="DP69" s="27" t="n"/>
      <c r="DQ69" s="27" t="n"/>
      <c r="DR69" s="27" t="n"/>
      <c r="DS69" s="27" t="n"/>
      <c r="DT69" s="27" t="n"/>
      <c r="DU69" s="27" t="n"/>
      <c r="DV69" s="27" t="n"/>
      <c r="DW69" s="27" t="n"/>
      <c r="DX69" s="27" t="n"/>
      <c r="DY69" s="27" t="n"/>
      <c r="DZ69" s="27" t="n"/>
      <c r="EA69" s="27" t="n"/>
      <c r="EB69" s="27" t="n"/>
      <c r="EC69" s="27" t="n"/>
      <c r="ED69" s="27" t="n"/>
      <c r="EE69" s="27" t="n"/>
      <c r="EF69" s="27" t="n"/>
      <c r="EG69" s="27" t="n"/>
      <c r="EH69" s="27" t="n"/>
      <c r="EI69" s="27" t="n"/>
      <c r="EJ69" s="27" t="n"/>
      <c r="EK69" s="27" t="n"/>
      <c r="EL69" s="27" t="n"/>
      <c r="EM69" s="27" t="n"/>
      <c r="EN69" s="27" t="n"/>
      <c r="EO69" s="27" t="n"/>
      <c r="EP69" s="27" t="n"/>
      <c r="EQ69" s="27" t="n"/>
      <c r="ER69" s="27" t="n"/>
      <c r="ES69" s="27" t="n"/>
      <c r="ET69" s="27" t="n"/>
      <c r="EU69" s="27" t="n"/>
      <c r="EV69" s="27" t="n"/>
      <c r="EW69" s="27" t="n"/>
      <c r="EX69" s="27" t="n"/>
      <c r="EY69" s="27" t="n"/>
      <c r="EZ69" s="27" t="n"/>
      <c r="FA69" s="27" t="n"/>
      <c r="FB69" s="27" t="n"/>
      <c r="FC69" s="27" t="n"/>
      <c r="FD69" s="27" t="n"/>
      <c r="FE69" s="27" t="n"/>
      <c r="FF69" s="27" t="n"/>
      <c r="FG69" s="27" t="n"/>
      <c r="FH69" s="27" t="n"/>
      <c r="FI69" s="27" t="n"/>
      <c r="FJ69" s="27" t="n"/>
      <c r="FK69" s="27" t="n"/>
      <c r="FL69" s="27" t="n"/>
      <c r="FM69" s="27" t="n"/>
      <c r="FN69" s="27" t="n"/>
      <c r="FO69" s="27" t="n"/>
      <c r="FP69" s="27" t="n"/>
      <c r="FQ69" s="27" t="n"/>
      <c r="FR69" s="27" t="n"/>
      <c r="FS69" s="27" t="n"/>
      <c r="FT69" s="27" t="n"/>
      <c r="FU69" s="27" t="n"/>
      <c r="FV69" s="27" t="n"/>
      <c r="FW69" s="27" t="n"/>
      <c r="FX69" s="27" t="n"/>
      <c r="FY69" s="27" t="n"/>
      <c r="FZ69" s="27" t="n"/>
      <c r="GA69" s="27" t="n"/>
      <c r="GB69" s="27" t="n"/>
      <c r="GC69" s="27" t="n"/>
      <c r="GD69" s="27" t="n"/>
      <c r="GE69" s="27" t="n"/>
      <c r="GF69" s="27" t="n"/>
      <c r="GG69" s="27" t="n"/>
      <c r="GH69" s="27" t="n"/>
      <c r="GI69" s="27" t="n"/>
      <c r="GJ69" s="27" t="n"/>
      <c r="GK69" s="27" t="n"/>
      <c r="GL69" s="27" t="n"/>
      <c r="GM69" s="27" t="n"/>
      <c r="GN69" s="27" t="n"/>
      <c r="GO69" s="27" t="n"/>
      <c r="GP69" s="27" t="n"/>
      <c r="GQ69" s="27" t="n"/>
      <c r="GR69" s="27" t="n"/>
      <c r="GS69" s="27" t="n"/>
      <c r="GT69" s="27" t="n"/>
      <c r="GU69" s="27" t="n"/>
      <c r="GV69" s="27" t="n"/>
      <c r="GW69" s="27" t="n"/>
      <c r="GX69" s="27" t="n"/>
      <c r="GY69" s="27" t="n"/>
      <c r="GZ69" s="27" t="n"/>
      <c r="HA69" s="27" t="n"/>
      <c r="HB69" s="27" t="n"/>
      <c r="HC69" s="27" t="n"/>
      <c r="HD69" s="27" t="n"/>
      <c r="HE69" s="27" t="n"/>
      <c r="HF69" s="27" t="n"/>
      <c r="HG69" s="27" t="n"/>
      <c r="HH69" s="27" t="n"/>
      <c r="HI69" s="27" t="n"/>
      <c r="HJ69" s="27" t="n"/>
      <c r="HK69" s="27" t="n"/>
      <c r="HL69" s="27" t="n"/>
      <c r="HM69" s="27" t="n"/>
      <c r="HN69" s="27" t="n"/>
      <c r="HO69" s="27" t="n"/>
      <c r="HP69" s="27" t="n"/>
      <c r="HQ69" s="27" t="n"/>
      <c r="HR69" s="27" t="n"/>
      <c r="HS69" s="27" t="n"/>
      <c r="HT69" s="27" t="n"/>
      <c r="HU69" s="27" t="n"/>
      <c r="HV69" s="27" t="n"/>
      <c r="HW69" s="27" t="n"/>
      <c r="HX69" s="27" t="n"/>
      <c r="HY69" s="27" t="n"/>
      <c r="HZ69" s="27" t="n"/>
      <c r="IA69" s="27" t="n"/>
      <c r="IB69" s="27" t="n"/>
      <c r="IC69" s="27" t="n"/>
      <c r="ID69" s="27" t="n"/>
      <c r="IE69" s="27" t="n"/>
      <c r="IF69" s="27" t="n"/>
      <c r="IG69" s="27" t="n"/>
      <c r="IH69" s="27" t="n"/>
      <c r="II69" s="27" t="n"/>
      <c r="IJ69" s="27" t="n"/>
      <c r="IK69" s="27" t="n"/>
      <c r="IL69" s="27" t="n"/>
      <c r="IM69" s="27" t="n"/>
      <c r="IN69" s="27" t="n"/>
      <c r="IO69" s="27" t="n"/>
      <c r="IP69" s="27" t="n"/>
      <c r="IQ69" s="27" t="n"/>
      <c r="IR69" s="27" t="n"/>
      <c r="IS69" s="27" t="n"/>
      <c r="IT69" s="27" t="n"/>
      <c r="IU69" s="27" t="n"/>
      <c r="IV69" s="27" t="n"/>
    </row>
    <row r="70" ht="13" customHeight="1" s="195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  <c r="AA70" s="27" t="n"/>
      <c r="AB70" s="27" t="n"/>
      <c r="AC70" s="27" t="n"/>
      <c r="AD70" s="27" t="n"/>
      <c r="AE70" s="27" t="n"/>
      <c r="AF70" s="27" t="n"/>
      <c r="AG70" s="27" t="n"/>
      <c r="AH70" s="27" t="n"/>
      <c r="AI70" s="27" t="n"/>
      <c r="AJ70" s="27" t="n"/>
      <c r="AK70" s="27" t="n"/>
      <c r="AL70" s="27" t="n"/>
      <c r="AM70" s="27" t="n"/>
      <c r="AN70" s="27" t="n"/>
      <c r="AO70" s="27" t="n"/>
      <c r="AP70" s="27" t="n"/>
      <c r="AQ70" s="27" t="n"/>
      <c r="AR70" s="27" t="n"/>
      <c r="AS70" s="27" t="n"/>
      <c r="AT70" s="27" t="n"/>
      <c r="AU70" s="27" t="n"/>
      <c r="AV70" s="27" t="n"/>
      <c r="AW70" s="27" t="n"/>
      <c r="AX70" s="27" t="n"/>
      <c r="AY70" s="27" t="n"/>
      <c r="AZ70" s="27" t="n"/>
      <c r="BA70" s="27" t="n"/>
      <c r="BB70" s="27" t="n"/>
      <c r="BC70" s="27" t="n"/>
      <c r="BD70" s="27" t="n"/>
      <c r="BE70" s="27" t="n"/>
      <c r="BF70" s="27" t="n"/>
      <c r="BG70" s="27" t="n"/>
      <c r="BH70" s="27" t="n"/>
      <c r="BI70" s="27" t="n"/>
      <c r="BJ70" s="27" t="n"/>
      <c r="BK70" s="27" t="n"/>
      <c r="BL70" s="27" t="n"/>
      <c r="BM70" s="27" t="n"/>
      <c r="BN70" s="27" t="n"/>
      <c r="BO70" s="27" t="n"/>
      <c r="BP70" s="27" t="n"/>
      <c r="BQ70" s="27" t="n"/>
      <c r="BR70" s="27" t="n"/>
      <c r="BS70" s="27" t="n"/>
      <c r="BT70" s="27" t="n"/>
      <c r="BU70" s="27" t="n"/>
      <c r="BV70" s="27" t="n"/>
      <c r="BW70" s="27" t="n"/>
      <c r="BX70" s="27" t="n"/>
      <c r="BY70" s="27" t="n"/>
      <c r="BZ70" s="27" t="n"/>
      <c r="CA70" s="27" t="n"/>
      <c r="CB70" s="27" t="n"/>
      <c r="CC70" s="27" t="n"/>
      <c r="CD70" s="27" t="n"/>
      <c r="CE70" s="27" t="n"/>
      <c r="CF70" s="27" t="n"/>
      <c r="CG70" s="27" t="n"/>
      <c r="CH70" s="27" t="n"/>
      <c r="CI70" s="27" t="n"/>
      <c r="CJ70" s="27" t="n"/>
      <c r="CK70" s="27" t="n"/>
      <c r="CL70" s="27" t="n"/>
      <c r="CM70" s="27" t="n"/>
      <c r="CN70" s="27" t="n"/>
      <c r="CO70" s="27" t="n"/>
      <c r="CP70" s="27" t="n"/>
      <c r="CQ70" s="27" t="n"/>
      <c r="CR70" s="27" t="n"/>
      <c r="CS70" s="27" t="n"/>
      <c r="CT70" s="27" t="n"/>
      <c r="CU70" s="27" t="n"/>
      <c r="CV70" s="27" t="n"/>
      <c r="CW70" s="27" t="n"/>
      <c r="CX70" s="27" t="n"/>
      <c r="CY70" s="27" t="n"/>
      <c r="CZ70" s="27" t="n"/>
      <c r="DA70" s="27" t="n"/>
      <c r="DB70" s="27" t="n"/>
      <c r="DC70" s="27" t="n"/>
      <c r="DD70" s="27" t="n"/>
      <c r="DE70" s="27" t="n"/>
      <c r="DF70" s="27" t="n"/>
      <c r="DG70" s="27" t="n"/>
      <c r="DH70" s="27" t="n"/>
      <c r="DI70" s="27" t="n"/>
      <c r="DJ70" s="27" t="n"/>
      <c r="DK70" s="27" t="n"/>
      <c r="DL70" s="27" t="n"/>
      <c r="DM70" s="27" t="n"/>
      <c r="DN70" s="27" t="n"/>
      <c r="DO70" s="27" t="n"/>
      <c r="DP70" s="27" t="n"/>
      <c r="DQ70" s="27" t="n"/>
      <c r="DR70" s="27" t="n"/>
      <c r="DS70" s="27" t="n"/>
      <c r="DT70" s="27" t="n"/>
      <c r="DU70" s="27" t="n"/>
      <c r="DV70" s="27" t="n"/>
      <c r="DW70" s="27" t="n"/>
      <c r="DX70" s="27" t="n"/>
      <c r="DY70" s="27" t="n"/>
      <c r="DZ70" s="27" t="n"/>
      <c r="EA70" s="27" t="n"/>
      <c r="EB70" s="27" t="n"/>
      <c r="EC70" s="27" t="n"/>
      <c r="ED70" s="27" t="n"/>
      <c r="EE70" s="27" t="n"/>
      <c r="EF70" s="27" t="n"/>
      <c r="EG70" s="27" t="n"/>
      <c r="EH70" s="27" t="n"/>
      <c r="EI70" s="27" t="n"/>
      <c r="EJ70" s="27" t="n"/>
      <c r="EK70" s="27" t="n"/>
      <c r="EL70" s="27" t="n"/>
      <c r="EM70" s="27" t="n"/>
      <c r="EN70" s="27" t="n"/>
      <c r="EO70" s="27" t="n"/>
      <c r="EP70" s="27" t="n"/>
      <c r="EQ70" s="27" t="n"/>
      <c r="ER70" s="27" t="n"/>
      <c r="ES70" s="27" t="n"/>
      <c r="ET70" s="27" t="n"/>
      <c r="EU70" s="27" t="n"/>
      <c r="EV70" s="27" t="n"/>
      <c r="EW70" s="27" t="n"/>
      <c r="EX70" s="27" t="n"/>
      <c r="EY70" s="27" t="n"/>
      <c r="EZ70" s="27" t="n"/>
      <c r="FA70" s="27" t="n"/>
      <c r="FB70" s="27" t="n"/>
      <c r="FC70" s="27" t="n"/>
      <c r="FD70" s="27" t="n"/>
      <c r="FE70" s="27" t="n"/>
      <c r="FF70" s="27" t="n"/>
      <c r="FG70" s="27" t="n"/>
      <c r="FH70" s="27" t="n"/>
      <c r="FI70" s="27" t="n"/>
      <c r="FJ70" s="27" t="n"/>
      <c r="FK70" s="27" t="n"/>
      <c r="FL70" s="27" t="n"/>
      <c r="FM70" s="27" t="n"/>
      <c r="FN70" s="27" t="n"/>
      <c r="FO70" s="27" t="n"/>
      <c r="FP70" s="27" t="n"/>
      <c r="FQ70" s="27" t="n"/>
      <c r="FR70" s="27" t="n"/>
      <c r="FS70" s="27" t="n"/>
      <c r="FT70" s="27" t="n"/>
      <c r="FU70" s="27" t="n"/>
      <c r="FV70" s="27" t="n"/>
      <c r="FW70" s="27" t="n"/>
      <c r="FX70" s="27" t="n"/>
      <c r="FY70" s="27" t="n"/>
      <c r="FZ70" s="27" t="n"/>
      <c r="GA70" s="27" t="n"/>
      <c r="GB70" s="27" t="n"/>
      <c r="GC70" s="27" t="n"/>
      <c r="GD70" s="27" t="n"/>
      <c r="GE70" s="27" t="n"/>
      <c r="GF70" s="27" t="n"/>
      <c r="GG70" s="27" t="n"/>
      <c r="GH70" s="27" t="n"/>
      <c r="GI70" s="27" t="n"/>
      <c r="GJ70" s="27" t="n"/>
      <c r="GK70" s="27" t="n"/>
      <c r="GL70" s="27" t="n"/>
      <c r="GM70" s="27" t="n"/>
      <c r="GN70" s="27" t="n"/>
      <c r="GO70" s="27" t="n"/>
      <c r="GP70" s="27" t="n"/>
      <c r="GQ70" s="27" t="n"/>
      <c r="GR70" s="27" t="n"/>
      <c r="GS70" s="27" t="n"/>
      <c r="GT70" s="27" t="n"/>
      <c r="GU70" s="27" t="n"/>
      <c r="GV70" s="27" t="n"/>
      <c r="GW70" s="27" t="n"/>
      <c r="GX70" s="27" t="n"/>
      <c r="GY70" s="27" t="n"/>
      <c r="GZ70" s="27" t="n"/>
      <c r="HA70" s="27" t="n"/>
      <c r="HB70" s="27" t="n"/>
      <c r="HC70" s="27" t="n"/>
      <c r="HD70" s="27" t="n"/>
      <c r="HE70" s="27" t="n"/>
      <c r="HF70" s="27" t="n"/>
      <c r="HG70" s="27" t="n"/>
      <c r="HH70" s="27" t="n"/>
      <c r="HI70" s="27" t="n"/>
      <c r="HJ70" s="27" t="n"/>
      <c r="HK70" s="27" t="n"/>
      <c r="HL70" s="27" t="n"/>
      <c r="HM70" s="27" t="n"/>
      <c r="HN70" s="27" t="n"/>
      <c r="HO70" s="27" t="n"/>
      <c r="HP70" s="27" t="n"/>
      <c r="HQ70" s="27" t="n"/>
      <c r="HR70" s="27" t="n"/>
      <c r="HS70" s="27" t="n"/>
      <c r="HT70" s="27" t="n"/>
      <c r="HU70" s="27" t="n"/>
      <c r="HV70" s="27" t="n"/>
      <c r="HW70" s="27" t="n"/>
      <c r="HX70" s="27" t="n"/>
      <c r="HY70" s="27" t="n"/>
      <c r="HZ70" s="27" t="n"/>
      <c r="IA70" s="27" t="n"/>
      <c r="IB70" s="27" t="n"/>
      <c r="IC70" s="27" t="n"/>
      <c r="ID70" s="27" t="n"/>
      <c r="IE70" s="27" t="n"/>
      <c r="IF70" s="27" t="n"/>
      <c r="IG70" s="27" t="n"/>
      <c r="IH70" s="27" t="n"/>
      <c r="II70" s="27" t="n"/>
      <c r="IJ70" s="27" t="n"/>
      <c r="IK70" s="27" t="n"/>
      <c r="IL70" s="27" t="n"/>
      <c r="IM70" s="27" t="n"/>
      <c r="IN70" s="27" t="n"/>
      <c r="IO70" s="27" t="n"/>
      <c r="IP70" s="27" t="n"/>
      <c r="IQ70" s="27" t="n"/>
      <c r="IR70" s="27" t="n"/>
      <c r="IS70" s="27" t="n"/>
      <c r="IT70" s="27" t="n"/>
      <c r="IU70" s="27" t="n"/>
      <c r="IV70" s="27" t="n"/>
    </row>
    <row r="71" ht="13" customHeight="1" s="195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  <c r="AA71" s="27" t="n"/>
      <c r="AB71" s="27" t="n"/>
      <c r="AC71" s="27" t="n"/>
      <c r="AD71" s="27" t="n"/>
      <c r="AE71" s="27" t="n"/>
      <c r="AF71" s="27" t="n"/>
      <c r="AG71" s="27" t="n"/>
      <c r="AH71" s="27" t="n"/>
      <c r="AI71" s="27" t="n"/>
      <c r="AJ71" s="27" t="n"/>
      <c r="AK71" s="27" t="n"/>
      <c r="AL71" s="27" t="n"/>
      <c r="AM71" s="27" t="n"/>
      <c r="AN71" s="27" t="n"/>
      <c r="AO71" s="27" t="n"/>
      <c r="AP71" s="27" t="n"/>
      <c r="AQ71" s="27" t="n"/>
      <c r="AR71" s="27" t="n"/>
      <c r="AS71" s="27" t="n"/>
      <c r="AT71" s="27" t="n"/>
      <c r="AU71" s="27" t="n"/>
      <c r="AV71" s="27" t="n"/>
      <c r="AW71" s="27" t="n"/>
      <c r="AX71" s="27" t="n"/>
      <c r="AY71" s="27" t="n"/>
      <c r="AZ71" s="27" t="n"/>
      <c r="BA71" s="27" t="n"/>
      <c r="BB71" s="27" t="n"/>
      <c r="BC71" s="27" t="n"/>
      <c r="BD71" s="27" t="n"/>
      <c r="BE71" s="27" t="n"/>
      <c r="BF71" s="27" t="n"/>
      <c r="BG71" s="27" t="n"/>
      <c r="BH71" s="27" t="n"/>
      <c r="BI71" s="27" t="n"/>
      <c r="BJ71" s="27" t="n"/>
      <c r="BK71" s="27" t="n"/>
      <c r="BL71" s="27" t="n"/>
      <c r="BM71" s="27" t="n"/>
      <c r="BN71" s="27" t="n"/>
      <c r="BO71" s="27" t="n"/>
      <c r="BP71" s="27" t="n"/>
      <c r="BQ71" s="27" t="n"/>
      <c r="BR71" s="27" t="n"/>
      <c r="BS71" s="27" t="n"/>
      <c r="BT71" s="27" t="n"/>
      <c r="BU71" s="27" t="n"/>
      <c r="BV71" s="27" t="n"/>
      <c r="BW71" s="27" t="n"/>
      <c r="BX71" s="27" t="n"/>
      <c r="BY71" s="27" t="n"/>
      <c r="BZ71" s="27" t="n"/>
      <c r="CA71" s="27" t="n"/>
      <c r="CB71" s="27" t="n"/>
      <c r="CC71" s="27" t="n"/>
      <c r="CD71" s="27" t="n"/>
      <c r="CE71" s="27" t="n"/>
      <c r="CF71" s="27" t="n"/>
      <c r="CG71" s="27" t="n"/>
      <c r="CH71" s="27" t="n"/>
      <c r="CI71" s="27" t="n"/>
      <c r="CJ71" s="27" t="n"/>
      <c r="CK71" s="27" t="n"/>
      <c r="CL71" s="27" t="n"/>
      <c r="CM71" s="27" t="n"/>
      <c r="CN71" s="27" t="n"/>
      <c r="CO71" s="27" t="n"/>
      <c r="CP71" s="27" t="n"/>
      <c r="CQ71" s="27" t="n"/>
      <c r="CR71" s="27" t="n"/>
      <c r="CS71" s="27" t="n"/>
      <c r="CT71" s="27" t="n"/>
      <c r="CU71" s="27" t="n"/>
      <c r="CV71" s="27" t="n"/>
      <c r="CW71" s="27" t="n"/>
      <c r="CX71" s="27" t="n"/>
      <c r="CY71" s="27" t="n"/>
      <c r="CZ71" s="27" t="n"/>
      <c r="DA71" s="27" t="n"/>
      <c r="DB71" s="27" t="n"/>
      <c r="DC71" s="27" t="n"/>
      <c r="DD71" s="27" t="n"/>
      <c r="DE71" s="27" t="n"/>
      <c r="DF71" s="27" t="n"/>
      <c r="DG71" s="27" t="n"/>
      <c r="DH71" s="27" t="n"/>
      <c r="DI71" s="27" t="n"/>
      <c r="DJ71" s="27" t="n"/>
      <c r="DK71" s="27" t="n"/>
      <c r="DL71" s="27" t="n"/>
      <c r="DM71" s="27" t="n"/>
      <c r="DN71" s="27" t="n"/>
      <c r="DO71" s="27" t="n"/>
      <c r="DP71" s="27" t="n"/>
      <c r="DQ71" s="27" t="n"/>
      <c r="DR71" s="27" t="n"/>
      <c r="DS71" s="27" t="n"/>
      <c r="DT71" s="27" t="n"/>
      <c r="DU71" s="27" t="n"/>
      <c r="DV71" s="27" t="n"/>
      <c r="DW71" s="27" t="n"/>
      <c r="DX71" s="27" t="n"/>
      <c r="DY71" s="27" t="n"/>
      <c r="DZ71" s="27" t="n"/>
      <c r="EA71" s="27" t="n"/>
      <c r="EB71" s="27" t="n"/>
      <c r="EC71" s="27" t="n"/>
      <c r="ED71" s="27" t="n"/>
      <c r="EE71" s="27" t="n"/>
      <c r="EF71" s="27" t="n"/>
      <c r="EG71" s="27" t="n"/>
      <c r="EH71" s="27" t="n"/>
      <c r="EI71" s="27" t="n"/>
      <c r="EJ71" s="27" t="n"/>
      <c r="EK71" s="27" t="n"/>
      <c r="EL71" s="27" t="n"/>
      <c r="EM71" s="27" t="n"/>
      <c r="EN71" s="27" t="n"/>
      <c r="EO71" s="27" t="n"/>
      <c r="EP71" s="27" t="n"/>
      <c r="EQ71" s="27" t="n"/>
      <c r="ER71" s="27" t="n"/>
      <c r="ES71" s="27" t="n"/>
      <c r="ET71" s="27" t="n"/>
      <c r="EU71" s="27" t="n"/>
      <c r="EV71" s="27" t="n"/>
      <c r="EW71" s="27" t="n"/>
      <c r="EX71" s="27" t="n"/>
      <c r="EY71" s="27" t="n"/>
      <c r="EZ71" s="27" t="n"/>
      <c r="FA71" s="27" t="n"/>
      <c r="FB71" s="27" t="n"/>
      <c r="FC71" s="27" t="n"/>
      <c r="FD71" s="27" t="n"/>
      <c r="FE71" s="27" t="n"/>
      <c r="FF71" s="27" t="n"/>
      <c r="FG71" s="27" t="n"/>
      <c r="FH71" s="27" t="n"/>
      <c r="FI71" s="27" t="n"/>
      <c r="FJ71" s="27" t="n"/>
      <c r="FK71" s="27" t="n"/>
      <c r="FL71" s="27" t="n"/>
      <c r="FM71" s="27" t="n"/>
      <c r="FN71" s="27" t="n"/>
      <c r="FO71" s="27" t="n"/>
      <c r="FP71" s="27" t="n"/>
      <c r="FQ71" s="27" t="n"/>
      <c r="FR71" s="27" t="n"/>
      <c r="FS71" s="27" t="n"/>
      <c r="FT71" s="27" t="n"/>
      <c r="FU71" s="27" t="n"/>
      <c r="FV71" s="27" t="n"/>
      <c r="FW71" s="27" t="n"/>
      <c r="FX71" s="27" t="n"/>
      <c r="FY71" s="27" t="n"/>
      <c r="FZ71" s="27" t="n"/>
      <c r="GA71" s="27" t="n"/>
      <c r="GB71" s="27" t="n"/>
      <c r="GC71" s="27" t="n"/>
      <c r="GD71" s="27" t="n"/>
      <c r="GE71" s="27" t="n"/>
      <c r="GF71" s="27" t="n"/>
      <c r="GG71" s="27" t="n"/>
      <c r="GH71" s="27" t="n"/>
      <c r="GI71" s="27" t="n"/>
      <c r="GJ71" s="27" t="n"/>
      <c r="GK71" s="27" t="n"/>
      <c r="GL71" s="27" t="n"/>
      <c r="GM71" s="27" t="n"/>
      <c r="GN71" s="27" t="n"/>
      <c r="GO71" s="27" t="n"/>
      <c r="GP71" s="27" t="n"/>
      <c r="GQ71" s="27" t="n"/>
      <c r="GR71" s="27" t="n"/>
      <c r="GS71" s="27" t="n"/>
      <c r="GT71" s="27" t="n"/>
      <c r="GU71" s="27" t="n"/>
      <c r="GV71" s="27" t="n"/>
      <c r="GW71" s="27" t="n"/>
      <c r="GX71" s="27" t="n"/>
      <c r="GY71" s="27" t="n"/>
      <c r="GZ71" s="27" t="n"/>
      <c r="HA71" s="27" t="n"/>
      <c r="HB71" s="27" t="n"/>
      <c r="HC71" s="27" t="n"/>
      <c r="HD71" s="27" t="n"/>
      <c r="HE71" s="27" t="n"/>
      <c r="HF71" s="27" t="n"/>
      <c r="HG71" s="27" t="n"/>
      <c r="HH71" s="27" t="n"/>
      <c r="HI71" s="27" t="n"/>
      <c r="HJ71" s="27" t="n"/>
      <c r="HK71" s="27" t="n"/>
      <c r="HL71" s="27" t="n"/>
      <c r="HM71" s="27" t="n"/>
      <c r="HN71" s="27" t="n"/>
      <c r="HO71" s="27" t="n"/>
      <c r="HP71" s="27" t="n"/>
      <c r="HQ71" s="27" t="n"/>
      <c r="HR71" s="27" t="n"/>
      <c r="HS71" s="27" t="n"/>
      <c r="HT71" s="27" t="n"/>
      <c r="HU71" s="27" t="n"/>
      <c r="HV71" s="27" t="n"/>
      <c r="HW71" s="27" t="n"/>
      <c r="HX71" s="27" t="n"/>
      <c r="HY71" s="27" t="n"/>
      <c r="HZ71" s="27" t="n"/>
      <c r="IA71" s="27" t="n"/>
      <c r="IB71" s="27" t="n"/>
      <c r="IC71" s="27" t="n"/>
      <c r="ID71" s="27" t="n"/>
      <c r="IE71" s="27" t="n"/>
      <c r="IF71" s="27" t="n"/>
      <c r="IG71" s="27" t="n"/>
      <c r="IH71" s="27" t="n"/>
      <c r="II71" s="27" t="n"/>
      <c r="IJ71" s="27" t="n"/>
      <c r="IK71" s="27" t="n"/>
      <c r="IL71" s="27" t="n"/>
      <c r="IM71" s="27" t="n"/>
      <c r="IN71" s="27" t="n"/>
      <c r="IO71" s="27" t="n"/>
      <c r="IP71" s="27" t="n"/>
      <c r="IQ71" s="27" t="n"/>
      <c r="IR71" s="27" t="n"/>
      <c r="IS71" s="27" t="n"/>
      <c r="IT71" s="27" t="n"/>
      <c r="IU71" s="27" t="n"/>
      <c r="IV71" s="27" t="n"/>
    </row>
    <row r="72" ht="13" customHeight="1" s="195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  <c r="AA72" s="27" t="n"/>
      <c r="AB72" s="27" t="n"/>
      <c r="AC72" s="27" t="n"/>
      <c r="AD72" s="27" t="n"/>
      <c r="AE72" s="27" t="n"/>
      <c r="AF72" s="27" t="n"/>
      <c r="AG72" s="27" t="n"/>
      <c r="AH72" s="27" t="n"/>
      <c r="AI72" s="27" t="n"/>
      <c r="AJ72" s="27" t="n"/>
      <c r="AK72" s="27" t="n"/>
      <c r="AL72" s="27" t="n"/>
      <c r="AM72" s="27" t="n"/>
      <c r="AN72" s="27" t="n"/>
      <c r="AO72" s="27" t="n"/>
      <c r="AP72" s="27" t="n"/>
      <c r="AQ72" s="27" t="n"/>
      <c r="AR72" s="27" t="n"/>
      <c r="AS72" s="27" t="n"/>
      <c r="AT72" s="27" t="n"/>
      <c r="AU72" s="27" t="n"/>
      <c r="AV72" s="27" t="n"/>
      <c r="AW72" s="27" t="n"/>
      <c r="AX72" s="27" t="n"/>
      <c r="AY72" s="27" t="n"/>
      <c r="AZ72" s="27" t="n"/>
      <c r="BA72" s="27" t="n"/>
      <c r="BB72" s="27" t="n"/>
      <c r="BC72" s="27" t="n"/>
      <c r="BD72" s="27" t="n"/>
      <c r="BE72" s="27" t="n"/>
      <c r="BF72" s="27" t="n"/>
      <c r="BG72" s="27" t="n"/>
      <c r="BH72" s="27" t="n"/>
      <c r="BI72" s="27" t="n"/>
      <c r="BJ72" s="27" t="n"/>
      <c r="BK72" s="27" t="n"/>
      <c r="BL72" s="27" t="n"/>
      <c r="BM72" s="27" t="n"/>
      <c r="BN72" s="27" t="n"/>
      <c r="BO72" s="27" t="n"/>
      <c r="BP72" s="27" t="n"/>
      <c r="BQ72" s="27" t="n"/>
      <c r="BR72" s="27" t="n"/>
      <c r="BS72" s="27" t="n"/>
      <c r="BT72" s="27" t="n"/>
      <c r="BU72" s="27" t="n"/>
      <c r="BV72" s="27" t="n"/>
      <c r="BW72" s="27" t="n"/>
      <c r="BX72" s="27" t="n"/>
      <c r="BY72" s="27" t="n"/>
      <c r="BZ72" s="27" t="n"/>
      <c r="CA72" s="27" t="n"/>
      <c r="CB72" s="27" t="n"/>
      <c r="CC72" s="27" t="n"/>
      <c r="CD72" s="27" t="n"/>
      <c r="CE72" s="27" t="n"/>
      <c r="CF72" s="27" t="n"/>
      <c r="CG72" s="27" t="n"/>
      <c r="CH72" s="27" t="n"/>
      <c r="CI72" s="27" t="n"/>
      <c r="CJ72" s="27" t="n"/>
      <c r="CK72" s="27" t="n"/>
      <c r="CL72" s="27" t="n"/>
      <c r="CM72" s="27" t="n"/>
      <c r="CN72" s="27" t="n"/>
      <c r="CO72" s="27" t="n"/>
      <c r="CP72" s="27" t="n"/>
      <c r="CQ72" s="27" t="n"/>
      <c r="CR72" s="27" t="n"/>
      <c r="CS72" s="27" t="n"/>
      <c r="CT72" s="27" t="n"/>
      <c r="CU72" s="27" t="n"/>
      <c r="CV72" s="27" t="n"/>
      <c r="CW72" s="27" t="n"/>
      <c r="CX72" s="27" t="n"/>
      <c r="CY72" s="27" t="n"/>
      <c r="CZ72" s="27" t="n"/>
      <c r="DA72" s="27" t="n"/>
      <c r="DB72" s="27" t="n"/>
      <c r="DC72" s="27" t="n"/>
      <c r="DD72" s="27" t="n"/>
      <c r="DE72" s="27" t="n"/>
      <c r="DF72" s="27" t="n"/>
      <c r="DG72" s="27" t="n"/>
      <c r="DH72" s="27" t="n"/>
      <c r="DI72" s="27" t="n"/>
      <c r="DJ72" s="27" t="n"/>
      <c r="DK72" s="27" t="n"/>
      <c r="DL72" s="27" t="n"/>
      <c r="DM72" s="27" t="n"/>
      <c r="DN72" s="27" t="n"/>
      <c r="DO72" s="27" t="n"/>
      <c r="DP72" s="27" t="n"/>
      <c r="DQ72" s="27" t="n"/>
      <c r="DR72" s="27" t="n"/>
      <c r="DS72" s="27" t="n"/>
      <c r="DT72" s="27" t="n"/>
      <c r="DU72" s="27" t="n"/>
      <c r="DV72" s="27" t="n"/>
      <c r="DW72" s="27" t="n"/>
      <c r="DX72" s="27" t="n"/>
      <c r="DY72" s="27" t="n"/>
      <c r="DZ72" s="27" t="n"/>
      <c r="EA72" s="27" t="n"/>
      <c r="EB72" s="27" t="n"/>
      <c r="EC72" s="27" t="n"/>
      <c r="ED72" s="27" t="n"/>
      <c r="EE72" s="27" t="n"/>
      <c r="EF72" s="27" t="n"/>
      <c r="EG72" s="27" t="n"/>
      <c r="EH72" s="27" t="n"/>
      <c r="EI72" s="27" t="n"/>
      <c r="EJ72" s="27" t="n"/>
      <c r="EK72" s="27" t="n"/>
      <c r="EL72" s="27" t="n"/>
      <c r="EM72" s="27" t="n"/>
      <c r="EN72" s="27" t="n"/>
      <c r="EO72" s="27" t="n"/>
      <c r="EP72" s="27" t="n"/>
      <c r="EQ72" s="27" t="n"/>
      <c r="ER72" s="27" t="n"/>
      <c r="ES72" s="27" t="n"/>
      <c r="ET72" s="27" t="n"/>
      <c r="EU72" s="27" t="n"/>
      <c r="EV72" s="27" t="n"/>
      <c r="EW72" s="27" t="n"/>
      <c r="EX72" s="27" t="n"/>
      <c r="EY72" s="27" t="n"/>
      <c r="EZ72" s="27" t="n"/>
      <c r="FA72" s="27" t="n"/>
      <c r="FB72" s="27" t="n"/>
      <c r="FC72" s="27" t="n"/>
      <c r="FD72" s="27" t="n"/>
      <c r="FE72" s="27" t="n"/>
      <c r="FF72" s="27" t="n"/>
      <c r="FG72" s="27" t="n"/>
      <c r="FH72" s="27" t="n"/>
      <c r="FI72" s="27" t="n"/>
      <c r="FJ72" s="27" t="n"/>
      <c r="FK72" s="27" t="n"/>
      <c r="FL72" s="27" t="n"/>
      <c r="FM72" s="27" t="n"/>
      <c r="FN72" s="27" t="n"/>
      <c r="FO72" s="27" t="n"/>
      <c r="FP72" s="27" t="n"/>
      <c r="FQ72" s="27" t="n"/>
      <c r="FR72" s="27" t="n"/>
      <c r="FS72" s="27" t="n"/>
      <c r="FT72" s="27" t="n"/>
      <c r="FU72" s="27" t="n"/>
      <c r="FV72" s="27" t="n"/>
      <c r="FW72" s="27" t="n"/>
      <c r="FX72" s="27" t="n"/>
      <c r="FY72" s="27" t="n"/>
      <c r="FZ72" s="27" t="n"/>
      <c r="GA72" s="27" t="n"/>
      <c r="GB72" s="27" t="n"/>
      <c r="GC72" s="27" t="n"/>
      <c r="GD72" s="27" t="n"/>
      <c r="GE72" s="27" t="n"/>
      <c r="GF72" s="27" t="n"/>
      <c r="GG72" s="27" t="n"/>
      <c r="GH72" s="27" t="n"/>
      <c r="GI72" s="27" t="n"/>
      <c r="GJ72" s="27" t="n"/>
      <c r="GK72" s="27" t="n"/>
      <c r="GL72" s="27" t="n"/>
      <c r="GM72" s="27" t="n"/>
      <c r="GN72" s="27" t="n"/>
      <c r="GO72" s="27" t="n"/>
      <c r="GP72" s="27" t="n"/>
      <c r="GQ72" s="27" t="n"/>
      <c r="GR72" s="27" t="n"/>
      <c r="GS72" s="27" t="n"/>
      <c r="GT72" s="27" t="n"/>
      <c r="GU72" s="27" t="n"/>
      <c r="GV72" s="27" t="n"/>
      <c r="GW72" s="27" t="n"/>
      <c r="GX72" s="27" t="n"/>
      <c r="GY72" s="27" t="n"/>
      <c r="GZ72" s="27" t="n"/>
      <c r="HA72" s="27" t="n"/>
      <c r="HB72" s="27" t="n"/>
      <c r="HC72" s="27" t="n"/>
      <c r="HD72" s="27" t="n"/>
      <c r="HE72" s="27" t="n"/>
      <c r="HF72" s="27" t="n"/>
      <c r="HG72" s="27" t="n"/>
      <c r="HH72" s="27" t="n"/>
      <c r="HI72" s="27" t="n"/>
      <c r="HJ72" s="27" t="n"/>
      <c r="HK72" s="27" t="n"/>
      <c r="HL72" s="27" t="n"/>
      <c r="HM72" s="27" t="n"/>
      <c r="HN72" s="27" t="n"/>
      <c r="HO72" s="27" t="n"/>
      <c r="HP72" s="27" t="n"/>
      <c r="HQ72" s="27" t="n"/>
      <c r="HR72" s="27" t="n"/>
      <c r="HS72" s="27" t="n"/>
      <c r="HT72" s="27" t="n"/>
      <c r="HU72" s="27" t="n"/>
      <c r="HV72" s="27" t="n"/>
      <c r="HW72" s="27" t="n"/>
      <c r="HX72" s="27" t="n"/>
      <c r="HY72" s="27" t="n"/>
      <c r="HZ72" s="27" t="n"/>
      <c r="IA72" s="27" t="n"/>
      <c r="IB72" s="27" t="n"/>
      <c r="IC72" s="27" t="n"/>
      <c r="ID72" s="27" t="n"/>
      <c r="IE72" s="27" t="n"/>
      <c r="IF72" s="27" t="n"/>
      <c r="IG72" s="27" t="n"/>
      <c r="IH72" s="27" t="n"/>
      <c r="II72" s="27" t="n"/>
      <c r="IJ72" s="27" t="n"/>
      <c r="IK72" s="27" t="n"/>
      <c r="IL72" s="27" t="n"/>
      <c r="IM72" s="27" t="n"/>
      <c r="IN72" s="27" t="n"/>
      <c r="IO72" s="27" t="n"/>
      <c r="IP72" s="27" t="n"/>
      <c r="IQ72" s="27" t="n"/>
      <c r="IR72" s="27" t="n"/>
      <c r="IS72" s="27" t="n"/>
      <c r="IT72" s="27" t="n"/>
      <c r="IU72" s="27" t="n"/>
      <c r="IV72" s="27" t="n"/>
    </row>
    <row r="73" ht="13" customHeight="1" s="195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  <c r="AA73" s="27" t="n"/>
      <c r="AB73" s="27" t="n"/>
      <c r="AC73" s="27" t="n"/>
      <c r="AD73" s="27" t="n"/>
      <c r="AE73" s="27" t="n"/>
      <c r="AF73" s="27" t="n"/>
      <c r="AG73" s="27" t="n"/>
      <c r="AH73" s="27" t="n"/>
      <c r="AI73" s="27" t="n"/>
      <c r="AJ73" s="27" t="n"/>
      <c r="AK73" s="27" t="n"/>
      <c r="AL73" s="27" t="n"/>
      <c r="AM73" s="27" t="n"/>
      <c r="AN73" s="27" t="n"/>
      <c r="AO73" s="27" t="n"/>
      <c r="AP73" s="27" t="n"/>
      <c r="AQ73" s="27" t="n"/>
      <c r="AR73" s="27" t="n"/>
      <c r="AS73" s="27" t="n"/>
      <c r="AT73" s="27" t="n"/>
      <c r="AU73" s="27" t="n"/>
      <c r="AV73" s="27" t="n"/>
      <c r="AW73" s="27" t="n"/>
      <c r="AX73" s="27" t="n"/>
      <c r="AY73" s="27" t="n"/>
      <c r="AZ73" s="27" t="n"/>
      <c r="BA73" s="27" t="n"/>
      <c r="BB73" s="27" t="n"/>
      <c r="BC73" s="27" t="n"/>
      <c r="BD73" s="27" t="n"/>
      <c r="BE73" s="27" t="n"/>
      <c r="BF73" s="27" t="n"/>
      <c r="BG73" s="27" t="n"/>
      <c r="BH73" s="27" t="n"/>
      <c r="BI73" s="27" t="n"/>
      <c r="BJ73" s="27" t="n"/>
      <c r="BK73" s="27" t="n"/>
      <c r="BL73" s="27" t="n"/>
      <c r="BM73" s="27" t="n"/>
      <c r="BN73" s="27" t="n"/>
      <c r="BO73" s="27" t="n"/>
      <c r="BP73" s="27" t="n"/>
      <c r="BQ73" s="27" t="n"/>
      <c r="BR73" s="27" t="n"/>
      <c r="BS73" s="27" t="n"/>
      <c r="BT73" s="27" t="n"/>
      <c r="BU73" s="27" t="n"/>
      <c r="BV73" s="27" t="n"/>
      <c r="BW73" s="27" t="n"/>
      <c r="BX73" s="27" t="n"/>
      <c r="BY73" s="27" t="n"/>
      <c r="BZ73" s="27" t="n"/>
      <c r="CA73" s="27" t="n"/>
      <c r="CB73" s="27" t="n"/>
      <c r="CC73" s="27" t="n"/>
      <c r="CD73" s="27" t="n"/>
      <c r="CE73" s="27" t="n"/>
      <c r="CF73" s="27" t="n"/>
      <c r="CG73" s="27" t="n"/>
      <c r="CH73" s="27" t="n"/>
      <c r="CI73" s="27" t="n"/>
      <c r="CJ73" s="27" t="n"/>
      <c r="CK73" s="27" t="n"/>
      <c r="CL73" s="27" t="n"/>
      <c r="CM73" s="27" t="n"/>
      <c r="CN73" s="27" t="n"/>
      <c r="CO73" s="27" t="n"/>
      <c r="CP73" s="27" t="n"/>
      <c r="CQ73" s="27" t="n"/>
      <c r="CR73" s="27" t="n"/>
      <c r="CS73" s="27" t="n"/>
      <c r="CT73" s="27" t="n"/>
      <c r="CU73" s="27" t="n"/>
      <c r="CV73" s="27" t="n"/>
      <c r="CW73" s="27" t="n"/>
      <c r="CX73" s="27" t="n"/>
      <c r="CY73" s="27" t="n"/>
      <c r="CZ73" s="27" t="n"/>
      <c r="DA73" s="27" t="n"/>
      <c r="DB73" s="27" t="n"/>
      <c r="DC73" s="27" t="n"/>
      <c r="DD73" s="27" t="n"/>
      <c r="DE73" s="27" t="n"/>
      <c r="DF73" s="27" t="n"/>
      <c r="DG73" s="27" t="n"/>
      <c r="DH73" s="27" t="n"/>
      <c r="DI73" s="27" t="n"/>
      <c r="DJ73" s="27" t="n"/>
      <c r="DK73" s="27" t="n"/>
      <c r="DL73" s="27" t="n"/>
      <c r="DM73" s="27" t="n"/>
      <c r="DN73" s="27" t="n"/>
      <c r="DO73" s="27" t="n"/>
      <c r="DP73" s="27" t="n"/>
      <c r="DQ73" s="27" t="n"/>
      <c r="DR73" s="27" t="n"/>
      <c r="DS73" s="27" t="n"/>
      <c r="DT73" s="27" t="n"/>
      <c r="DU73" s="27" t="n"/>
      <c r="DV73" s="27" t="n"/>
      <c r="DW73" s="27" t="n"/>
      <c r="DX73" s="27" t="n"/>
      <c r="DY73" s="27" t="n"/>
      <c r="DZ73" s="27" t="n"/>
      <c r="EA73" s="27" t="n"/>
      <c r="EB73" s="27" t="n"/>
      <c r="EC73" s="27" t="n"/>
      <c r="ED73" s="27" t="n"/>
      <c r="EE73" s="27" t="n"/>
      <c r="EF73" s="27" t="n"/>
      <c r="EG73" s="27" t="n"/>
      <c r="EH73" s="27" t="n"/>
      <c r="EI73" s="27" t="n"/>
      <c r="EJ73" s="27" t="n"/>
      <c r="EK73" s="27" t="n"/>
      <c r="EL73" s="27" t="n"/>
      <c r="EM73" s="27" t="n"/>
      <c r="EN73" s="27" t="n"/>
      <c r="EO73" s="27" t="n"/>
      <c r="EP73" s="27" t="n"/>
      <c r="EQ73" s="27" t="n"/>
      <c r="ER73" s="27" t="n"/>
      <c r="ES73" s="27" t="n"/>
      <c r="ET73" s="27" t="n"/>
      <c r="EU73" s="27" t="n"/>
      <c r="EV73" s="27" t="n"/>
      <c r="EW73" s="27" t="n"/>
      <c r="EX73" s="27" t="n"/>
      <c r="EY73" s="27" t="n"/>
      <c r="EZ73" s="27" t="n"/>
      <c r="FA73" s="27" t="n"/>
      <c r="FB73" s="27" t="n"/>
      <c r="FC73" s="27" t="n"/>
      <c r="FD73" s="27" t="n"/>
      <c r="FE73" s="27" t="n"/>
      <c r="FF73" s="27" t="n"/>
      <c r="FG73" s="27" t="n"/>
      <c r="FH73" s="27" t="n"/>
      <c r="FI73" s="27" t="n"/>
      <c r="FJ73" s="27" t="n"/>
      <c r="FK73" s="27" t="n"/>
      <c r="FL73" s="27" t="n"/>
      <c r="FM73" s="27" t="n"/>
      <c r="FN73" s="27" t="n"/>
      <c r="FO73" s="27" t="n"/>
      <c r="FP73" s="27" t="n"/>
      <c r="FQ73" s="27" t="n"/>
      <c r="FR73" s="27" t="n"/>
      <c r="FS73" s="27" t="n"/>
      <c r="FT73" s="27" t="n"/>
      <c r="FU73" s="27" t="n"/>
      <c r="FV73" s="27" t="n"/>
      <c r="FW73" s="27" t="n"/>
      <c r="FX73" s="27" t="n"/>
      <c r="FY73" s="27" t="n"/>
      <c r="FZ73" s="27" t="n"/>
      <c r="GA73" s="27" t="n"/>
      <c r="GB73" s="27" t="n"/>
      <c r="GC73" s="27" t="n"/>
      <c r="GD73" s="27" t="n"/>
      <c r="GE73" s="27" t="n"/>
      <c r="GF73" s="27" t="n"/>
      <c r="GG73" s="27" t="n"/>
      <c r="GH73" s="27" t="n"/>
      <c r="GI73" s="27" t="n"/>
      <c r="GJ73" s="27" t="n"/>
      <c r="GK73" s="27" t="n"/>
      <c r="GL73" s="27" t="n"/>
      <c r="GM73" s="27" t="n"/>
      <c r="GN73" s="27" t="n"/>
      <c r="GO73" s="27" t="n"/>
      <c r="GP73" s="27" t="n"/>
      <c r="GQ73" s="27" t="n"/>
      <c r="GR73" s="27" t="n"/>
      <c r="GS73" s="27" t="n"/>
      <c r="GT73" s="27" t="n"/>
      <c r="GU73" s="27" t="n"/>
      <c r="GV73" s="27" t="n"/>
      <c r="GW73" s="27" t="n"/>
      <c r="GX73" s="27" t="n"/>
      <c r="GY73" s="27" t="n"/>
      <c r="GZ73" s="27" t="n"/>
      <c r="HA73" s="27" t="n"/>
      <c r="HB73" s="27" t="n"/>
      <c r="HC73" s="27" t="n"/>
      <c r="HD73" s="27" t="n"/>
      <c r="HE73" s="27" t="n"/>
      <c r="HF73" s="27" t="n"/>
      <c r="HG73" s="27" t="n"/>
      <c r="HH73" s="27" t="n"/>
      <c r="HI73" s="27" t="n"/>
      <c r="HJ73" s="27" t="n"/>
      <c r="HK73" s="27" t="n"/>
      <c r="HL73" s="27" t="n"/>
      <c r="HM73" s="27" t="n"/>
      <c r="HN73" s="27" t="n"/>
      <c r="HO73" s="27" t="n"/>
      <c r="HP73" s="27" t="n"/>
      <c r="HQ73" s="27" t="n"/>
      <c r="HR73" s="27" t="n"/>
      <c r="HS73" s="27" t="n"/>
      <c r="HT73" s="27" t="n"/>
      <c r="HU73" s="27" t="n"/>
      <c r="HV73" s="27" t="n"/>
      <c r="HW73" s="27" t="n"/>
      <c r="HX73" s="27" t="n"/>
      <c r="HY73" s="27" t="n"/>
      <c r="HZ73" s="27" t="n"/>
      <c r="IA73" s="27" t="n"/>
      <c r="IB73" s="27" t="n"/>
      <c r="IC73" s="27" t="n"/>
      <c r="ID73" s="27" t="n"/>
      <c r="IE73" s="27" t="n"/>
      <c r="IF73" s="27" t="n"/>
      <c r="IG73" s="27" t="n"/>
      <c r="IH73" s="27" t="n"/>
      <c r="II73" s="27" t="n"/>
      <c r="IJ73" s="27" t="n"/>
      <c r="IK73" s="27" t="n"/>
      <c r="IL73" s="27" t="n"/>
      <c r="IM73" s="27" t="n"/>
      <c r="IN73" s="27" t="n"/>
      <c r="IO73" s="27" t="n"/>
      <c r="IP73" s="27" t="n"/>
      <c r="IQ73" s="27" t="n"/>
      <c r="IR73" s="27" t="n"/>
      <c r="IS73" s="27" t="n"/>
      <c r="IT73" s="27" t="n"/>
      <c r="IU73" s="27" t="n"/>
      <c r="IV73" s="27" t="n"/>
    </row>
    <row r="74" ht="13" customHeight="1" s="195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  <c r="AA74" s="27" t="n"/>
      <c r="AB74" s="27" t="n"/>
      <c r="AC74" s="27" t="n"/>
      <c r="AD74" s="27" t="n"/>
      <c r="AE74" s="27" t="n"/>
      <c r="AF74" s="27" t="n"/>
      <c r="AG74" s="27" t="n"/>
      <c r="AH74" s="27" t="n"/>
      <c r="AI74" s="27" t="n"/>
      <c r="AJ74" s="27" t="n"/>
      <c r="AK74" s="27" t="n"/>
      <c r="AL74" s="27" t="n"/>
      <c r="AM74" s="27" t="n"/>
      <c r="AN74" s="27" t="n"/>
      <c r="AO74" s="27" t="n"/>
      <c r="AP74" s="27" t="n"/>
      <c r="AQ74" s="27" t="n"/>
      <c r="AR74" s="27" t="n"/>
      <c r="AS74" s="27" t="n"/>
      <c r="AT74" s="27" t="n"/>
      <c r="AU74" s="27" t="n"/>
      <c r="AV74" s="27" t="n"/>
      <c r="AW74" s="27" t="n"/>
      <c r="AX74" s="27" t="n"/>
      <c r="AY74" s="27" t="n"/>
      <c r="AZ74" s="27" t="n"/>
      <c r="BA74" s="27" t="n"/>
      <c r="BB74" s="27" t="n"/>
      <c r="BC74" s="27" t="n"/>
      <c r="BD74" s="27" t="n"/>
      <c r="BE74" s="27" t="n"/>
      <c r="BF74" s="27" t="n"/>
      <c r="BG74" s="27" t="n"/>
      <c r="BH74" s="27" t="n"/>
      <c r="BI74" s="27" t="n"/>
      <c r="BJ74" s="27" t="n"/>
      <c r="BK74" s="27" t="n"/>
      <c r="BL74" s="27" t="n"/>
      <c r="BM74" s="27" t="n"/>
      <c r="BN74" s="27" t="n"/>
      <c r="BO74" s="27" t="n"/>
      <c r="BP74" s="27" t="n"/>
      <c r="BQ74" s="27" t="n"/>
      <c r="BR74" s="27" t="n"/>
      <c r="BS74" s="27" t="n"/>
      <c r="BT74" s="27" t="n"/>
      <c r="BU74" s="27" t="n"/>
      <c r="BV74" s="27" t="n"/>
      <c r="BW74" s="27" t="n"/>
      <c r="BX74" s="27" t="n"/>
      <c r="BY74" s="27" t="n"/>
      <c r="BZ74" s="27" t="n"/>
      <c r="CA74" s="27" t="n"/>
      <c r="CB74" s="27" t="n"/>
      <c r="CC74" s="27" t="n"/>
      <c r="CD74" s="27" t="n"/>
      <c r="CE74" s="27" t="n"/>
      <c r="CF74" s="27" t="n"/>
      <c r="CG74" s="27" t="n"/>
      <c r="CH74" s="27" t="n"/>
      <c r="CI74" s="27" t="n"/>
      <c r="CJ74" s="27" t="n"/>
      <c r="CK74" s="27" t="n"/>
      <c r="CL74" s="27" t="n"/>
      <c r="CM74" s="27" t="n"/>
      <c r="CN74" s="27" t="n"/>
      <c r="CO74" s="27" t="n"/>
      <c r="CP74" s="27" t="n"/>
      <c r="CQ74" s="27" t="n"/>
      <c r="CR74" s="27" t="n"/>
      <c r="CS74" s="27" t="n"/>
      <c r="CT74" s="27" t="n"/>
      <c r="CU74" s="27" t="n"/>
      <c r="CV74" s="27" t="n"/>
      <c r="CW74" s="27" t="n"/>
      <c r="CX74" s="27" t="n"/>
      <c r="CY74" s="27" t="n"/>
      <c r="CZ74" s="27" t="n"/>
      <c r="DA74" s="27" t="n"/>
      <c r="DB74" s="27" t="n"/>
      <c r="DC74" s="27" t="n"/>
      <c r="DD74" s="27" t="n"/>
      <c r="DE74" s="27" t="n"/>
      <c r="DF74" s="27" t="n"/>
      <c r="DG74" s="27" t="n"/>
      <c r="DH74" s="27" t="n"/>
      <c r="DI74" s="27" t="n"/>
      <c r="DJ74" s="27" t="n"/>
      <c r="DK74" s="27" t="n"/>
      <c r="DL74" s="27" t="n"/>
      <c r="DM74" s="27" t="n"/>
      <c r="DN74" s="27" t="n"/>
      <c r="DO74" s="27" t="n"/>
      <c r="DP74" s="27" t="n"/>
      <c r="DQ74" s="27" t="n"/>
      <c r="DR74" s="27" t="n"/>
      <c r="DS74" s="27" t="n"/>
      <c r="DT74" s="27" t="n"/>
      <c r="DU74" s="27" t="n"/>
      <c r="DV74" s="27" t="n"/>
      <c r="DW74" s="27" t="n"/>
      <c r="DX74" s="27" t="n"/>
      <c r="DY74" s="27" t="n"/>
      <c r="DZ74" s="27" t="n"/>
      <c r="EA74" s="27" t="n"/>
      <c r="EB74" s="27" t="n"/>
      <c r="EC74" s="27" t="n"/>
      <c r="ED74" s="27" t="n"/>
      <c r="EE74" s="27" t="n"/>
      <c r="EF74" s="27" t="n"/>
      <c r="EG74" s="27" t="n"/>
      <c r="EH74" s="27" t="n"/>
      <c r="EI74" s="27" t="n"/>
      <c r="EJ74" s="27" t="n"/>
      <c r="EK74" s="27" t="n"/>
      <c r="EL74" s="27" t="n"/>
      <c r="EM74" s="27" t="n"/>
      <c r="EN74" s="27" t="n"/>
      <c r="EO74" s="27" t="n"/>
      <c r="EP74" s="27" t="n"/>
      <c r="EQ74" s="27" t="n"/>
      <c r="ER74" s="27" t="n"/>
      <c r="ES74" s="27" t="n"/>
      <c r="ET74" s="27" t="n"/>
      <c r="EU74" s="27" t="n"/>
      <c r="EV74" s="27" t="n"/>
      <c r="EW74" s="27" t="n"/>
      <c r="EX74" s="27" t="n"/>
      <c r="EY74" s="27" t="n"/>
      <c r="EZ74" s="27" t="n"/>
      <c r="FA74" s="27" t="n"/>
      <c r="FB74" s="27" t="n"/>
      <c r="FC74" s="27" t="n"/>
      <c r="FD74" s="27" t="n"/>
      <c r="FE74" s="27" t="n"/>
      <c r="FF74" s="27" t="n"/>
      <c r="FG74" s="27" t="n"/>
      <c r="FH74" s="27" t="n"/>
      <c r="FI74" s="27" t="n"/>
      <c r="FJ74" s="27" t="n"/>
      <c r="FK74" s="27" t="n"/>
      <c r="FL74" s="27" t="n"/>
      <c r="FM74" s="27" t="n"/>
      <c r="FN74" s="27" t="n"/>
      <c r="FO74" s="27" t="n"/>
      <c r="FP74" s="27" t="n"/>
      <c r="FQ74" s="27" t="n"/>
      <c r="FR74" s="27" t="n"/>
      <c r="FS74" s="27" t="n"/>
      <c r="FT74" s="27" t="n"/>
      <c r="FU74" s="27" t="n"/>
      <c r="FV74" s="27" t="n"/>
      <c r="FW74" s="27" t="n"/>
      <c r="FX74" s="27" t="n"/>
      <c r="FY74" s="27" t="n"/>
      <c r="FZ74" s="27" t="n"/>
      <c r="GA74" s="27" t="n"/>
      <c r="GB74" s="27" t="n"/>
      <c r="GC74" s="27" t="n"/>
      <c r="GD74" s="27" t="n"/>
      <c r="GE74" s="27" t="n"/>
      <c r="GF74" s="27" t="n"/>
      <c r="GG74" s="27" t="n"/>
      <c r="GH74" s="27" t="n"/>
      <c r="GI74" s="27" t="n"/>
      <c r="GJ74" s="27" t="n"/>
      <c r="GK74" s="27" t="n"/>
      <c r="GL74" s="27" t="n"/>
      <c r="GM74" s="27" t="n"/>
      <c r="GN74" s="27" t="n"/>
      <c r="GO74" s="27" t="n"/>
      <c r="GP74" s="27" t="n"/>
      <c r="GQ74" s="27" t="n"/>
      <c r="GR74" s="27" t="n"/>
      <c r="GS74" s="27" t="n"/>
      <c r="GT74" s="27" t="n"/>
      <c r="GU74" s="27" t="n"/>
      <c r="GV74" s="27" t="n"/>
      <c r="GW74" s="27" t="n"/>
      <c r="GX74" s="27" t="n"/>
      <c r="GY74" s="27" t="n"/>
      <c r="GZ74" s="27" t="n"/>
      <c r="HA74" s="27" t="n"/>
      <c r="HB74" s="27" t="n"/>
      <c r="HC74" s="27" t="n"/>
      <c r="HD74" s="27" t="n"/>
      <c r="HE74" s="27" t="n"/>
      <c r="HF74" s="27" t="n"/>
      <c r="HG74" s="27" t="n"/>
      <c r="HH74" s="27" t="n"/>
      <c r="HI74" s="27" t="n"/>
      <c r="HJ74" s="27" t="n"/>
      <c r="HK74" s="27" t="n"/>
      <c r="HL74" s="27" t="n"/>
      <c r="HM74" s="27" t="n"/>
      <c r="HN74" s="27" t="n"/>
      <c r="HO74" s="27" t="n"/>
      <c r="HP74" s="27" t="n"/>
      <c r="HQ74" s="27" t="n"/>
      <c r="HR74" s="27" t="n"/>
      <c r="HS74" s="27" t="n"/>
      <c r="HT74" s="27" t="n"/>
      <c r="HU74" s="27" t="n"/>
      <c r="HV74" s="27" t="n"/>
      <c r="HW74" s="27" t="n"/>
      <c r="HX74" s="27" t="n"/>
      <c r="HY74" s="27" t="n"/>
      <c r="HZ74" s="27" t="n"/>
      <c r="IA74" s="27" t="n"/>
      <c r="IB74" s="27" t="n"/>
      <c r="IC74" s="27" t="n"/>
      <c r="ID74" s="27" t="n"/>
      <c r="IE74" s="27" t="n"/>
      <c r="IF74" s="27" t="n"/>
      <c r="IG74" s="27" t="n"/>
      <c r="IH74" s="27" t="n"/>
      <c r="II74" s="27" t="n"/>
      <c r="IJ74" s="27" t="n"/>
      <c r="IK74" s="27" t="n"/>
      <c r="IL74" s="27" t="n"/>
      <c r="IM74" s="27" t="n"/>
      <c r="IN74" s="27" t="n"/>
      <c r="IO74" s="27" t="n"/>
      <c r="IP74" s="27" t="n"/>
      <c r="IQ74" s="27" t="n"/>
      <c r="IR74" s="27" t="n"/>
      <c r="IS74" s="27" t="n"/>
      <c r="IT74" s="27" t="n"/>
      <c r="IU74" s="27" t="n"/>
      <c r="IV74" s="27" t="n"/>
    </row>
    <row r="75" ht="13" customHeight="1" s="195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  <c r="AA75" s="27" t="n"/>
      <c r="AB75" s="27" t="n"/>
      <c r="AC75" s="27" t="n"/>
      <c r="AD75" s="27" t="n"/>
      <c r="AE75" s="27" t="n"/>
      <c r="AF75" s="27" t="n"/>
      <c r="AG75" s="27" t="n"/>
      <c r="AH75" s="27" t="n"/>
      <c r="AI75" s="27" t="n"/>
      <c r="AJ75" s="27" t="n"/>
      <c r="AK75" s="27" t="n"/>
      <c r="AL75" s="27" t="n"/>
      <c r="AM75" s="27" t="n"/>
      <c r="AN75" s="27" t="n"/>
      <c r="AO75" s="27" t="n"/>
      <c r="AP75" s="27" t="n"/>
      <c r="AQ75" s="27" t="n"/>
      <c r="AR75" s="27" t="n"/>
      <c r="AS75" s="27" t="n"/>
      <c r="AT75" s="27" t="n"/>
      <c r="AU75" s="27" t="n"/>
      <c r="AV75" s="27" t="n"/>
      <c r="AW75" s="27" t="n"/>
      <c r="AX75" s="27" t="n"/>
      <c r="AY75" s="27" t="n"/>
      <c r="AZ75" s="27" t="n"/>
      <c r="BA75" s="27" t="n"/>
      <c r="BB75" s="27" t="n"/>
      <c r="BC75" s="27" t="n"/>
      <c r="BD75" s="27" t="n"/>
      <c r="BE75" s="27" t="n"/>
      <c r="BF75" s="27" t="n"/>
      <c r="BG75" s="27" t="n"/>
      <c r="BH75" s="27" t="n"/>
      <c r="BI75" s="27" t="n"/>
      <c r="BJ75" s="27" t="n"/>
      <c r="BK75" s="27" t="n"/>
      <c r="BL75" s="27" t="n"/>
      <c r="BM75" s="27" t="n"/>
      <c r="BN75" s="27" t="n"/>
      <c r="BO75" s="27" t="n"/>
      <c r="BP75" s="27" t="n"/>
      <c r="BQ75" s="27" t="n"/>
      <c r="BR75" s="27" t="n"/>
      <c r="BS75" s="27" t="n"/>
      <c r="BT75" s="27" t="n"/>
      <c r="BU75" s="27" t="n"/>
      <c r="BV75" s="27" t="n"/>
      <c r="BW75" s="27" t="n"/>
      <c r="BX75" s="27" t="n"/>
      <c r="BY75" s="27" t="n"/>
      <c r="BZ75" s="27" t="n"/>
      <c r="CA75" s="27" t="n"/>
      <c r="CB75" s="27" t="n"/>
      <c r="CC75" s="27" t="n"/>
      <c r="CD75" s="27" t="n"/>
      <c r="CE75" s="27" t="n"/>
      <c r="CF75" s="27" t="n"/>
      <c r="CG75" s="27" t="n"/>
      <c r="CH75" s="27" t="n"/>
      <c r="CI75" s="27" t="n"/>
      <c r="CJ75" s="27" t="n"/>
      <c r="CK75" s="27" t="n"/>
      <c r="CL75" s="27" t="n"/>
      <c r="CM75" s="27" t="n"/>
      <c r="CN75" s="27" t="n"/>
      <c r="CO75" s="27" t="n"/>
      <c r="CP75" s="27" t="n"/>
      <c r="CQ75" s="27" t="n"/>
      <c r="CR75" s="27" t="n"/>
      <c r="CS75" s="27" t="n"/>
      <c r="CT75" s="27" t="n"/>
      <c r="CU75" s="27" t="n"/>
      <c r="CV75" s="27" t="n"/>
      <c r="CW75" s="27" t="n"/>
      <c r="CX75" s="27" t="n"/>
      <c r="CY75" s="27" t="n"/>
      <c r="CZ75" s="27" t="n"/>
      <c r="DA75" s="27" t="n"/>
      <c r="DB75" s="27" t="n"/>
      <c r="DC75" s="27" t="n"/>
      <c r="DD75" s="27" t="n"/>
      <c r="DE75" s="27" t="n"/>
      <c r="DF75" s="27" t="n"/>
      <c r="DG75" s="27" t="n"/>
      <c r="DH75" s="27" t="n"/>
      <c r="DI75" s="27" t="n"/>
      <c r="DJ75" s="27" t="n"/>
      <c r="DK75" s="27" t="n"/>
      <c r="DL75" s="27" t="n"/>
      <c r="DM75" s="27" t="n"/>
      <c r="DN75" s="27" t="n"/>
      <c r="DO75" s="27" t="n"/>
      <c r="DP75" s="27" t="n"/>
      <c r="DQ75" s="27" t="n"/>
      <c r="DR75" s="27" t="n"/>
      <c r="DS75" s="27" t="n"/>
      <c r="DT75" s="27" t="n"/>
      <c r="DU75" s="27" t="n"/>
      <c r="DV75" s="27" t="n"/>
      <c r="DW75" s="27" t="n"/>
      <c r="DX75" s="27" t="n"/>
      <c r="DY75" s="27" t="n"/>
      <c r="DZ75" s="27" t="n"/>
      <c r="EA75" s="27" t="n"/>
      <c r="EB75" s="27" t="n"/>
      <c r="EC75" s="27" t="n"/>
      <c r="ED75" s="27" t="n"/>
      <c r="EE75" s="27" t="n"/>
      <c r="EF75" s="27" t="n"/>
      <c r="EG75" s="27" t="n"/>
      <c r="EH75" s="27" t="n"/>
      <c r="EI75" s="27" t="n"/>
      <c r="EJ75" s="27" t="n"/>
      <c r="EK75" s="27" t="n"/>
      <c r="EL75" s="27" t="n"/>
      <c r="EM75" s="27" t="n"/>
      <c r="EN75" s="27" t="n"/>
      <c r="EO75" s="27" t="n"/>
      <c r="EP75" s="27" t="n"/>
      <c r="EQ75" s="27" t="n"/>
      <c r="ER75" s="27" t="n"/>
      <c r="ES75" s="27" t="n"/>
      <c r="ET75" s="27" t="n"/>
      <c r="EU75" s="27" t="n"/>
      <c r="EV75" s="27" t="n"/>
      <c r="EW75" s="27" t="n"/>
      <c r="EX75" s="27" t="n"/>
      <c r="EY75" s="27" t="n"/>
      <c r="EZ75" s="27" t="n"/>
      <c r="FA75" s="27" t="n"/>
      <c r="FB75" s="27" t="n"/>
      <c r="FC75" s="27" t="n"/>
      <c r="FD75" s="27" t="n"/>
      <c r="FE75" s="27" t="n"/>
      <c r="FF75" s="27" t="n"/>
      <c r="FG75" s="27" t="n"/>
      <c r="FH75" s="27" t="n"/>
      <c r="FI75" s="27" t="n"/>
      <c r="FJ75" s="27" t="n"/>
      <c r="FK75" s="27" t="n"/>
      <c r="FL75" s="27" t="n"/>
      <c r="FM75" s="27" t="n"/>
      <c r="FN75" s="27" t="n"/>
      <c r="FO75" s="27" t="n"/>
      <c r="FP75" s="27" t="n"/>
      <c r="FQ75" s="27" t="n"/>
      <c r="FR75" s="27" t="n"/>
      <c r="FS75" s="27" t="n"/>
      <c r="FT75" s="27" t="n"/>
      <c r="FU75" s="27" t="n"/>
      <c r="FV75" s="27" t="n"/>
      <c r="FW75" s="27" t="n"/>
      <c r="FX75" s="27" t="n"/>
      <c r="FY75" s="27" t="n"/>
      <c r="FZ75" s="27" t="n"/>
      <c r="GA75" s="27" t="n"/>
      <c r="GB75" s="27" t="n"/>
      <c r="GC75" s="27" t="n"/>
      <c r="GD75" s="27" t="n"/>
      <c r="GE75" s="27" t="n"/>
      <c r="GF75" s="27" t="n"/>
      <c r="GG75" s="27" t="n"/>
      <c r="GH75" s="27" t="n"/>
      <c r="GI75" s="27" t="n"/>
      <c r="GJ75" s="27" t="n"/>
      <c r="GK75" s="27" t="n"/>
      <c r="GL75" s="27" t="n"/>
      <c r="GM75" s="27" t="n"/>
      <c r="GN75" s="27" t="n"/>
      <c r="GO75" s="27" t="n"/>
      <c r="GP75" s="27" t="n"/>
      <c r="GQ75" s="27" t="n"/>
      <c r="GR75" s="27" t="n"/>
      <c r="GS75" s="27" t="n"/>
      <c r="GT75" s="27" t="n"/>
      <c r="GU75" s="27" t="n"/>
      <c r="GV75" s="27" t="n"/>
      <c r="GW75" s="27" t="n"/>
      <c r="GX75" s="27" t="n"/>
      <c r="GY75" s="27" t="n"/>
      <c r="GZ75" s="27" t="n"/>
      <c r="HA75" s="27" t="n"/>
      <c r="HB75" s="27" t="n"/>
      <c r="HC75" s="27" t="n"/>
      <c r="HD75" s="27" t="n"/>
      <c r="HE75" s="27" t="n"/>
      <c r="HF75" s="27" t="n"/>
      <c r="HG75" s="27" t="n"/>
      <c r="HH75" s="27" t="n"/>
      <c r="HI75" s="27" t="n"/>
      <c r="HJ75" s="27" t="n"/>
      <c r="HK75" s="27" t="n"/>
      <c r="HL75" s="27" t="n"/>
      <c r="HM75" s="27" t="n"/>
      <c r="HN75" s="27" t="n"/>
      <c r="HO75" s="27" t="n"/>
      <c r="HP75" s="27" t="n"/>
      <c r="HQ75" s="27" t="n"/>
      <c r="HR75" s="27" t="n"/>
      <c r="HS75" s="27" t="n"/>
      <c r="HT75" s="27" t="n"/>
      <c r="HU75" s="27" t="n"/>
      <c r="HV75" s="27" t="n"/>
      <c r="HW75" s="27" t="n"/>
      <c r="HX75" s="27" t="n"/>
      <c r="HY75" s="27" t="n"/>
      <c r="HZ75" s="27" t="n"/>
      <c r="IA75" s="27" t="n"/>
      <c r="IB75" s="27" t="n"/>
      <c r="IC75" s="27" t="n"/>
      <c r="ID75" s="27" t="n"/>
      <c r="IE75" s="27" t="n"/>
      <c r="IF75" s="27" t="n"/>
      <c r="IG75" s="27" t="n"/>
      <c r="IH75" s="27" t="n"/>
      <c r="II75" s="27" t="n"/>
      <c r="IJ75" s="27" t="n"/>
      <c r="IK75" s="27" t="n"/>
      <c r="IL75" s="27" t="n"/>
      <c r="IM75" s="27" t="n"/>
      <c r="IN75" s="27" t="n"/>
      <c r="IO75" s="27" t="n"/>
      <c r="IP75" s="27" t="n"/>
      <c r="IQ75" s="27" t="n"/>
      <c r="IR75" s="27" t="n"/>
      <c r="IS75" s="27" t="n"/>
      <c r="IT75" s="27" t="n"/>
      <c r="IU75" s="27" t="n"/>
      <c r="IV75" s="27" t="n"/>
    </row>
    <row r="76" ht="13" customHeight="1" s="195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  <c r="AA76" s="27" t="n"/>
      <c r="AB76" s="27" t="n"/>
      <c r="AC76" s="27" t="n"/>
      <c r="AD76" s="27" t="n"/>
      <c r="AE76" s="27" t="n"/>
      <c r="AF76" s="27" t="n"/>
      <c r="AG76" s="27" t="n"/>
      <c r="AH76" s="27" t="n"/>
      <c r="AI76" s="27" t="n"/>
      <c r="AJ76" s="27" t="n"/>
      <c r="AK76" s="27" t="n"/>
      <c r="AL76" s="27" t="n"/>
      <c r="AM76" s="27" t="n"/>
      <c r="AN76" s="27" t="n"/>
      <c r="AO76" s="27" t="n"/>
      <c r="AP76" s="27" t="n"/>
      <c r="AQ76" s="27" t="n"/>
      <c r="AR76" s="27" t="n"/>
      <c r="AS76" s="27" t="n"/>
      <c r="AT76" s="27" t="n"/>
      <c r="AU76" s="27" t="n"/>
      <c r="AV76" s="27" t="n"/>
      <c r="AW76" s="27" t="n"/>
      <c r="AX76" s="27" t="n"/>
      <c r="AY76" s="27" t="n"/>
      <c r="AZ76" s="27" t="n"/>
      <c r="BA76" s="27" t="n"/>
      <c r="BB76" s="27" t="n"/>
      <c r="BC76" s="27" t="n"/>
      <c r="BD76" s="27" t="n"/>
      <c r="BE76" s="27" t="n"/>
      <c r="BF76" s="27" t="n"/>
      <c r="BG76" s="27" t="n"/>
      <c r="BH76" s="27" t="n"/>
      <c r="BI76" s="27" t="n"/>
      <c r="BJ76" s="27" t="n"/>
      <c r="BK76" s="27" t="n"/>
      <c r="BL76" s="27" t="n"/>
      <c r="BM76" s="27" t="n"/>
      <c r="BN76" s="27" t="n"/>
      <c r="BO76" s="27" t="n"/>
      <c r="BP76" s="27" t="n"/>
      <c r="BQ76" s="27" t="n"/>
      <c r="BR76" s="27" t="n"/>
      <c r="BS76" s="27" t="n"/>
      <c r="BT76" s="27" t="n"/>
      <c r="BU76" s="27" t="n"/>
      <c r="BV76" s="27" t="n"/>
      <c r="BW76" s="27" t="n"/>
      <c r="BX76" s="27" t="n"/>
      <c r="BY76" s="27" t="n"/>
      <c r="BZ76" s="27" t="n"/>
      <c r="CA76" s="27" t="n"/>
      <c r="CB76" s="27" t="n"/>
      <c r="CC76" s="27" t="n"/>
      <c r="CD76" s="27" t="n"/>
      <c r="CE76" s="27" t="n"/>
      <c r="CF76" s="27" t="n"/>
      <c r="CG76" s="27" t="n"/>
      <c r="CH76" s="27" t="n"/>
      <c r="CI76" s="27" t="n"/>
      <c r="CJ76" s="27" t="n"/>
      <c r="CK76" s="27" t="n"/>
      <c r="CL76" s="27" t="n"/>
      <c r="CM76" s="27" t="n"/>
      <c r="CN76" s="27" t="n"/>
      <c r="CO76" s="27" t="n"/>
      <c r="CP76" s="27" t="n"/>
      <c r="CQ76" s="27" t="n"/>
      <c r="CR76" s="27" t="n"/>
      <c r="CS76" s="27" t="n"/>
      <c r="CT76" s="27" t="n"/>
      <c r="CU76" s="27" t="n"/>
      <c r="CV76" s="27" t="n"/>
      <c r="CW76" s="27" t="n"/>
      <c r="CX76" s="27" t="n"/>
      <c r="CY76" s="27" t="n"/>
      <c r="CZ76" s="27" t="n"/>
      <c r="DA76" s="27" t="n"/>
      <c r="DB76" s="27" t="n"/>
      <c r="DC76" s="27" t="n"/>
      <c r="DD76" s="27" t="n"/>
      <c r="DE76" s="27" t="n"/>
      <c r="DF76" s="27" t="n"/>
      <c r="DG76" s="27" t="n"/>
      <c r="DH76" s="27" t="n"/>
      <c r="DI76" s="27" t="n"/>
      <c r="DJ76" s="27" t="n"/>
      <c r="DK76" s="27" t="n"/>
      <c r="DL76" s="27" t="n"/>
      <c r="DM76" s="27" t="n"/>
      <c r="DN76" s="27" t="n"/>
      <c r="DO76" s="27" t="n"/>
      <c r="DP76" s="27" t="n"/>
      <c r="DQ76" s="27" t="n"/>
      <c r="DR76" s="27" t="n"/>
      <c r="DS76" s="27" t="n"/>
      <c r="DT76" s="27" t="n"/>
      <c r="DU76" s="27" t="n"/>
      <c r="DV76" s="27" t="n"/>
      <c r="DW76" s="27" t="n"/>
      <c r="DX76" s="27" t="n"/>
      <c r="DY76" s="27" t="n"/>
      <c r="DZ76" s="27" t="n"/>
      <c r="EA76" s="27" t="n"/>
      <c r="EB76" s="27" t="n"/>
      <c r="EC76" s="27" t="n"/>
      <c r="ED76" s="27" t="n"/>
      <c r="EE76" s="27" t="n"/>
      <c r="EF76" s="27" t="n"/>
      <c r="EG76" s="27" t="n"/>
      <c r="EH76" s="27" t="n"/>
      <c r="EI76" s="27" t="n"/>
      <c r="EJ76" s="27" t="n"/>
      <c r="EK76" s="27" t="n"/>
      <c r="EL76" s="27" t="n"/>
      <c r="EM76" s="27" t="n"/>
      <c r="EN76" s="27" t="n"/>
      <c r="EO76" s="27" t="n"/>
      <c r="EP76" s="27" t="n"/>
      <c r="EQ76" s="27" t="n"/>
      <c r="ER76" s="27" t="n"/>
      <c r="ES76" s="27" t="n"/>
      <c r="ET76" s="27" t="n"/>
      <c r="EU76" s="27" t="n"/>
      <c r="EV76" s="27" t="n"/>
      <c r="EW76" s="27" t="n"/>
      <c r="EX76" s="27" t="n"/>
      <c r="EY76" s="27" t="n"/>
      <c r="EZ76" s="27" t="n"/>
      <c r="FA76" s="27" t="n"/>
      <c r="FB76" s="27" t="n"/>
      <c r="FC76" s="27" t="n"/>
      <c r="FD76" s="27" t="n"/>
      <c r="FE76" s="27" t="n"/>
      <c r="FF76" s="27" t="n"/>
      <c r="FG76" s="27" t="n"/>
      <c r="FH76" s="27" t="n"/>
      <c r="FI76" s="27" t="n"/>
      <c r="FJ76" s="27" t="n"/>
      <c r="FK76" s="27" t="n"/>
      <c r="FL76" s="27" t="n"/>
      <c r="FM76" s="27" t="n"/>
      <c r="FN76" s="27" t="n"/>
      <c r="FO76" s="27" t="n"/>
      <c r="FP76" s="27" t="n"/>
      <c r="FQ76" s="27" t="n"/>
      <c r="FR76" s="27" t="n"/>
      <c r="FS76" s="27" t="n"/>
      <c r="FT76" s="27" t="n"/>
      <c r="FU76" s="27" t="n"/>
      <c r="FV76" s="27" t="n"/>
      <c r="FW76" s="27" t="n"/>
      <c r="FX76" s="27" t="n"/>
      <c r="FY76" s="27" t="n"/>
      <c r="FZ76" s="27" t="n"/>
      <c r="GA76" s="27" t="n"/>
      <c r="GB76" s="27" t="n"/>
      <c r="GC76" s="27" t="n"/>
      <c r="GD76" s="27" t="n"/>
      <c r="GE76" s="27" t="n"/>
      <c r="GF76" s="27" t="n"/>
      <c r="GG76" s="27" t="n"/>
      <c r="GH76" s="27" t="n"/>
      <c r="GI76" s="27" t="n"/>
      <c r="GJ76" s="27" t="n"/>
      <c r="GK76" s="27" t="n"/>
      <c r="GL76" s="27" t="n"/>
      <c r="GM76" s="27" t="n"/>
      <c r="GN76" s="27" t="n"/>
      <c r="GO76" s="27" t="n"/>
      <c r="GP76" s="27" t="n"/>
      <c r="GQ76" s="27" t="n"/>
      <c r="GR76" s="27" t="n"/>
      <c r="GS76" s="27" t="n"/>
      <c r="GT76" s="27" t="n"/>
      <c r="GU76" s="27" t="n"/>
      <c r="GV76" s="27" t="n"/>
      <c r="GW76" s="27" t="n"/>
      <c r="GX76" s="27" t="n"/>
      <c r="GY76" s="27" t="n"/>
      <c r="GZ76" s="27" t="n"/>
      <c r="HA76" s="27" t="n"/>
      <c r="HB76" s="27" t="n"/>
      <c r="HC76" s="27" t="n"/>
      <c r="HD76" s="27" t="n"/>
      <c r="HE76" s="27" t="n"/>
      <c r="HF76" s="27" t="n"/>
      <c r="HG76" s="27" t="n"/>
      <c r="HH76" s="27" t="n"/>
      <c r="HI76" s="27" t="n"/>
      <c r="HJ76" s="27" t="n"/>
      <c r="HK76" s="27" t="n"/>
      <c r="HL76" s="27" t="n"/>
      <c r="HM76" s="27" t="n"/>
      <c r="HN76" s="27" t="n"/>
      <c r="HO76" s="27" t="n"/>
      <c r="HP76" s="27" t="n"/>
      <c r="HQ76" s="27" t="n"/>
      <c r="HR76" s="27" t="n"/>
      <c r="HS76" s="27" t="n"/>
      <c r="HT76" s="27" t="n"/>
      <c r="HU76" s="27" t="n"/>
      <c r="HV76" s="27" t="n"/>
      <c r="HW76" s="27" t="n"/>
      <c r="HX76" s="27" t="n"/>
      <c r="HY76" s="27" t="n"/>
      <c r="HZ76" s="27" t="n"/>
      <c r="IA76" s="27" t="n"/>
      <c r="IB76" s="27" t="n"/>
      <c r="IC76" s="27" t="n"/>
      <c r="ID76" s="27" t="n"/>
      <c r="IE76" s="27" t="n"/>
      <c r="IF76" s="27" t="n"/>
      <c r="IG76" s="27" t="n"/>
      <c r="IH76" s="27" t="n"/>
      <c r="II76" s="27" t="n"/>
      <c r="IJ76" s="27" t="n"/>
      <c r="IK76" s="27" t="n"/>
      <c r="IL76" s="27" t="n"/>
      <c r="IM76" s="27" t="n"/>
      <c r="IN76" s="27" t="n"/>
      <c r="IO76" s="27" t="n"/>
      <c r="IP76" s="27" t="n"/>
      <c r="IQ76" s="27" t="n"/>
      <c r="IR76" s="27" t="n"/>
      <c r="IS76" s="27" t="n"/>
      <c r="IT76" s="27" t="n"/>
      <c r="IU76" s="27" t="n"/>
      <c r="IV76" s="27" t="n"/>
    </row>
    <row r="77" ht="13" customHeight="1" s="195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  <c r="AA77" s="27" t="n"/>
      <c r="AB77" s="27" t="n"/>
      <c r="AC77" s="27" t="n"/>
      <c r="AD77" s="27" t="n"/>
      <c r="AE77" s="27" t="n"/>
      <c r="AF77" s="27" t="n"/>
      <c r="AG77" s="27" t="n"/>
      <c r="AH77" s="27" t="n"/>
      <c r="AI77" s="27" t="n"/>
      <c r="AJ77" s="27" t="n"/>
      <c r="AK77" s="27" t="n"/>
      <c r="AL77" s="27" t="n"/>
      <c r="AM77" s="27" t="n"/>
      <c r="AN77" s="27" t="n"/>
      <c r="AO77" s="27" t="n"/>
      <c r="AP77" s="27" t="n"/>
      <c r="AQ77" s="27" t="n"/>
      <c r="AR77" s="27" t="n"/>
      <c r="AS77" s="27" t="n"/>
      <c r="AT77" s="27" t="n"/>
      <c r="AU77" s="27" t="n"/>
      <c r="AV77" s="27" t="n"/>
      <c r="AW77" s="27" t="n"/>
      <c r="AX77" s="27" t="n"/>
      <c r="AY77" s="27" t="n"/>
      <c r="AZ77" s="27" t="n"/>
      <c r="BA77" s="27" t="n"/>
      <c r="BB77" s="27" t="n"/>
      <c r="BC77" s="27" t="n"/>
      <c r="BD77" s="27" t="n"/>
      <c r="BE77" s="27" t="n"/>
      <c r="BF77" s="27" t="n"/>
      <c r="BG77" s="27" t="n"/>
      <c r="BH77" s="27" t="n"/>
      <c r="BI77" s="27" t="n"/>
      <c r="BJ77" s="27" t="n"/>
      <c r="BK77" s="27" t="n"/>
      <c r="BL77" s="27" t="n"/>
      <c r="BM77" s="27" t="n"/>
      <c r="BN77" s="27" t="n"/>
      <c r="BO77" s="27" t="n"/>
      <c r="BP77" s="27" t="n"/>
      <c r="BQ77" s="27" t="n"/>
      <c r="BR77" s="27" t="n"/>
      <c r="BS77" s="27" t="n"/>
      <c r="BT77" s="27" t="n"/>
      <c r="BU77" s="27" t="n"/>
      <c r="BV77" s="27" t="n"/>
      <c r="BW77" s="27" t="n"/>
      <c r="BX77" s="27" t="n"/>
      <c r="BY77" s="27" t="n"/>
      <c r="BZ77" s="27" t="n"/>
      <c r="CA77" s="27" t="n"/>
      <c r="CB77" s="27" t="n"/>
      <c r="CC77" s="27" t="n"/>
      <c r="CD77" s="27" t="n"/>
      <c r="CE77" s="27" t="n"/>
      <c r="CF77" s="27" t="n"/>
      <c r="CG77" s="27" t="n"/>
      <c r="CH77" s="27" t="n"/>
      <c r="CI77" s="27" t="n"/>
      <c r="CJ77" s="27" t="n"/>
      <c r="CK77" s="27" t="n"/>
      <c r="CL77" s="27" t="n"/>
      <c r="CM77" s="27" t="n"/>
      <c r="CN77" s="27" t="n"/>
      <c r="CO77" s="27" t="n"/>
      <c r="CP77" s="27" t="n"/>
      <c r="CQ77" s="27" t="n"/>
      <c r="CR77" s="27" t="n"/>
      <c r="CS77" s="27" t="n"/>
      <c r="CT77" s="27" t="n"/>
      <c r="CU77" s="27" t="n"/>
      <c r="CV77" s="27" t="n"/>
      <c r="CW77" s="27" t="n"/>
      <c r="CX77" s="27" t="n"/>
      <c r="CY77" s="27" t="n"/>
      <c r="CZ77" s="27" t="n"/>
      <c r="DA77" s="27" t="n"/>
      <c r="DB77" s="27" t="n"/>
      <c r="DC77" s="27" t="n"/>
      <c r="DD77" s="27" t="n"/>
      <c r="DE77" s="27" t="n"/>
      <c r="DF77" s="27" t="n"/>
      <c r="DG77" s="27" t="n"/>
      <c r="DH77" s="27" t="n"/>
      <c r="DI77" s="27" t="n"/>
      <c r="DJ77" s="27" t="n"/>
      <c r="DK77" s="27" t="n"/>
      <c r="DL77" s="27" t="n"/>
      <c r="DM77" s="27" t="n"/>
      <c r="DN77" s="27" t="n"/>
      <c r="DO77" s="27" t="n"/>
      <c r="DP77" s="27" t="n"/>
      <c r="DQ77" s="27" t="n"/>
      <c r="DR77" s="27" t="n"/>
      <c r="DS77" s="27" t="n"/>
      <c r="DT77" s="27" t="n"/>
      <c r="DU77" s="27" t="n"/>
      <c r="DV77" s="27" t="n"/>
      <c r="DW77" s="27" t="n"/>
      <c r="DX77" s="27" t="n"/>
      <c r="DY77" s="27" t="n"/>
      <c r="DZ77" s="27" t="n"/>
      <c r="EA77" s="27" t="n"/>
      <c r="EB77" s="27" t="n"/>
      <c r="EC77" s="27" t="n"/>
      <c r="ED77" s="27" t="n"/>
      <c r="EE77" s="27" t="n"/>
      <c r="EF77" s="27" t="n"/>
      <c r="EG77" s="27" t="n"/>
      <c r="EH77" s="27" t="n"/>
      <c r="EI77" s="27" t="n"/>
      <c r="EJ77" s="27" t="n"/>
      <c r="EK77" s="27" t="n"/>
      <c r="EL77" s="27" t="n"/>
      <c r="EM77" s="27" t="n"/>
      <c r="EN77" s="27" t="n"/>
      <c r="EO77" s="27" t="n"/>
      <c r="EP77" s="27" t="n"/>
      <c r="EQ77" s="27" t="n"/>
      <c r="ER77" s="27" t="n"/>
      <c r="ES77" s="27" t="n"/>
      <c r="ET77" s="27" t="n"/>
      <c r="EU77" s="27" t="n"/>
      <c r="EV77" s="27" t="n"/>
      <c r="EW77" s="27" t="n"/>
      <c r="EX77" s="27" t="n"/>
      <c r="EY77" s="27" t="n"/>
      <c r="EZ77" s="27" t="n"/>
      <c r="FA77" s="27" t="n"/>
      <c r="FB77" s="27" t="n"/>
      <c r="FC77" s="27" t="n"/>
      <c r="FD77" s="27" t="n"/>
      <c r="FE77" s="27" t="n"/>
      <c r="FF77" s="27" t="n"/>
      <c r="FG77" s="27" t="n"/>
      <c r="FH77" s="27" t="n"/>
      <c r="FI77" s="27" t="n"/>
      <c r="FJ77" s="27" t="n"/>
      <c r="FK77" s="27" t="n"/>
      <c r="FL77" s="27" t="n"/>
      <c r="FM77" s="27" t="n"/>
      <c r="FN77" s="27" t="n"/>
      <c r="FO77" s="27" t="n"/>
      <c r="FP77" s="27" t="n"/>
      <c r="FQ77" s="27" t="n"/>
      <c r="FR77" s="27" t="n"/>
      <c r="FS77" s="27" t="n"/>
      <c r="FT77" s="27" t="n"/>
      <c r="FU77" s="27" t="n"/>
      <c r="FV77" s="27" t="n"/>
      <c r="FW77" s="27" t="n"/>
      <c r="FX77" s="27" t="n"/>
      <c r="FY77" s="27" t="n"/>
      <c r="FZ77" s="27" t="n"/>
      <c r="GA77" s="27" t="n"/>
      <c r="GB77" s="27" t="n"/>
      <c r="GC77" s="27" t="n"/>
      <c r="GD77" s="27" t="n"/>
      <c r="GE77" s="27" t="n"/>
      <c r="GF77" s="27" t="n"/>
      <c r="GG77" s="27" t="n"/>
      <c r="GH77" s="27" t="n"/>
      <c r="GI77" s="27" t="n"/>
      <c r="GJ77" s="27" t="n"/>
      <c r="GK77" s="27" t="n"/>
      <c r="GL77" s="27" t="n"/>
      <c r="GM77" s="27" t="n"/>
      <c r="GN77" s="27" t="n"/>
      <c r="GO77" s="27" t="n"/>
      <c r="GP77" s="27" t="n"/>
      <c r="GQ77" s="27" t="n"/>
      <c r="GR77" s="27" t="n"/>
      <c r="GS77" s="27" t="n"/>
      <c r="GT77" s="27" t="n"/>
      <c r="GU77" s="27" t="n"/>
      <c r="GV77" s="27" t="n"/>
      <c r="GW77" s="27" t="n"/>
      <c r="GX77" s="27" t="n"/>
      <c r="GY77" s="27" t="n"/>
      <c r="GZ77" s="27" t="n"/>
      <c r="HA77" s="27" t="n"/>
      <c r="HB77" s="27" t="n"/>
      <c r="HC77" s="27" t="n"/>
      <c r="HD77" s="27" t="n"/>
      <c r="HE77" s="27" t="n"/>
      <c r="HF77" s="27" t="n"/>
      <c r="HG77" s="27" t="n"/>
      <c r="HH77" s="27" t="n"/>
      <c r="HI77" s="27" t="n"/>
      <c r="HJ77" s="27" t="n"/>
      <c r="HK77" s="27" t="n"/>
      <c r="HL77" s="27" t="n"/>
      <c r="HM77" s="27" t="n"/>
      <c r="HN77" s="27" t="n"/>
      <c r="HO77" s="27" t="n"/>
      <c r="HP77" s="27" t="n"/>
      <c r="HQ77" s="27" t="n"/>
      <c r="HR77" s="27" t="n"/>
      <c r="HS77" s="27" t="n"/>
      <c r="HT77" s="27" t="n"/>
      <c r="HU77" s="27" t="n"/>
      <c r="HV77" s="27" t="n"/>
      <c r="HW77" s="27" t="n"/>
      <c r="HX77" s="27" t="n"/>
      <c r="HY77" s="27" t="n"/>
      <c r="HZ77" s="27" t="n"/>
      <c r="IA77" s="27" t="n"/>
      <c r="IB77" s="27" t="n"/>
      <c r="IC77" s="27" t="n"/>
      <c r="ID77" s="27" t="n"/>
      <c r="IE77" s="27" t="n"/>
      <c r="IF77" s="27" t="n"/>
      <c r="IG77" s="27" t="n"/>
      <c r="IH77" s="27" t="n"/>
      <c r="II77" s="27" t="n"/>
      <c r="IJ77" s="27" t="n"/>
      <c r="IK77" s="27" t="n"/>
      <c r="IL77" s="27" t="n"/>
      <c r="IM77" s="27" t="n"/>
      <c r="IN77" s="27" t="n"/>
      <c r="IO77" s="27" t="n"/>
      <c r="IP77" s="27" t="n"/>
      <c r="IQ77" s="27" t="n"/>
      <c r="IR77" s="27" t="n"/>
      <c r="IS77" s="27" t="n"/>
      <c r="IT77" s="27" t="n"/>
      <c r="IU77" s="27" t="n"/>
      <c r="IV77" s="27" t="n"/>
    </row>
    <row r="78" ht="13" customHeight="1" s="195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  <c r="AA78" s="27" t="n"/>
      <c r="AB78" s="27" t="n"/>
      <c r="AC78" s="27" t="n"/>
      <c r="AD78" s="27" t="n"/>
      <c r="AE78" s="27" t="n"/>
      <c r="AF78" s="27" t="n"/>
      <c r="AG78" s="27" t="n"/>
      <c r="AH78" s="27" t="n"/>
      <c r="AI78" s="27" t="n"/>
      <c r="AJ78" s="27" t="n"/>
      <c r="AK78" s="27" t="n"/>
      <c r="AL78" s="27" t="n"/>
      <c r="AM78" s="27" t="n"/>
      <c r="AN78" s="27" t="n"/>
      <c r="AO78" s="27" t="n"/>
      <c r="AP78" s="27" t="n"/>
      <c r="AQ78" s="27" t="n"/>
      <c r="AR78" s="27" t="n"/>
      <c r="AS78" s="27" t="n"/>
      <c r="AT78" s="27" t="n"/>
      <c r="AU78" s="27" t="n"/>
      <c r="AV78" s="27" t="n"/>
      <c r="AW78" s="27" t="n"/>
      <c r="AX78" s="27" t="n"/>
      <c r="AY78" s="27" t="n"/>
      <c r="AZ78" s="27" t="n"/>
      <c r="BA78" s="27" t="n"/>
      <c r="BB78" s="27" t="n"/>
      <c r="BC78" s="27" t="n"/>
      <c r="BD78" s="27" t="n"/>
      <c r="BE78" s="27" t="n"/>
      <c r="BF78" s="27" t="n"/>
      <c r="BG78" s="27" t="n"/>
      <c r="BH78" s="27" t="n"/>
      <c r="BI78" s="27" t="n"/>
      <c r="BJ78" s="27" t="n"/>
      <c r="BK78" s="27" t="n"/>
      <c r="BL78" s="27" t="n"/>
      <c r="BM78" s="27" t="n"/>
      <c r="BN78" s="27" t="n"/>
      <c r="BO78" s="27" t="n"/>
      <c r="BP78" s="27" t="n"/>
      <c r="BQ78" s="27" t="n"/>
      <c r="BR78" s="27" t="n"/>
      <c r="BS78" s="27" t="n"/>
      <c r="BT78" s="27" t="n"/>
      <c r="BU78" s="27" t="n"/>
      <c r="BV78" s="27" t="n"/>
      <c r="BW78" s="27" t="n"/>
      <c r="BX78" s="27" t="n"/>
      <c r="BY78" s="27" t="n"/>
      <c r="BZ78" s="27" t="n"/>
      <c r="CA78" s="27" t="n"/>
      <c r="CB78" s="27" t="n"/>
      <c r="CC78" s="27" t="n"/>
      <c r="CD78" s="27" t="n"/>
      <c r="CE78" s="27" t="n"/>
      <c r="CF78" s="27" t="n"/>
      <c r="CG78" s="27" t="n"/>
      <c r="CH78" s="27" t="n"/>
      <c r="CI78" s="27" t="n"/>
      <c r="CJ78" s="27" t="n"/>
      <c r="CK78" s="27" t="n"/>
      <c r="CL78" s="27" t="n"/>
      <c r="CM78" s="27" t="n"/>
      <c r="CN78" s="27" t="n"/>
      <c r="CO78" s="27" t="n"/>
      <c r="CP78" s="27" t="n"/>
      <c r="CQ78" s="27" t="n"/>
      <c r="CR78" s="27" t="n"/>
      <c r="CS78" s="27" t="n"/>
      <c r="CT78" s="27" t="n"/>
      <c r="CU78" s="27" t="n"/>
      <c r="CV78" s="27" t="n"/>
      <c r="CW78" s="27" t="n"/>
      <c r="CX78" s="27" t="n"/>
      <c r="CY78" s="27" t="n"/>
      <c r="CZ78" s="27" t="n"/>
      <c r="DA78" s="27" t="n"/>
      <c r="DB78" s="27" t="n"/>
      <c r="DC78" s="27" t="n"/>
      <c r="DD78" s="27" t="n"/>
      <c r="DE78" s="27" t="n"/>
      <c r="DF78" s="27" t="n"/>
      <c r="DG78" s="27" t="n"/>
      <c r="DH78" s="27" t="n"/>
      <c r="DI78" s="27" t="n"/>
      <c r="DJ78" s="27" t="n"/>
      <c r="DK78" s="27" t="n"/>
      <c r="DL78" s="27" t="n"/>
      <c r="DM78" s="27" t="n"/>
      <c r="DN78" s="27" t="n"/>
      <c r="DO78" s="27" t="n"/>
      <c r="DP78" s="27" t="n"/>
      <c r="DQ78" s="27" t="n"/>
      <c r="DR78" s="27" t="n"/>
      <c r="DS78" s="27" t="n"/>
      <c r="DT78" s="27" t="n"/>
      <c r="DU78" s="27" t="n"/>
      <c r="DV78" s="27" t="n"/>
      <c r="DW78" s="27" t="n"/>
      <c r="DX78" s="27" t="n"/>
      <c r="DY78" s="27" t="n"/>
      <c r="DZ78" s="27" t="n"/>
      <c r="EA78" s="27" t="n"/>
      <c r="EB78" s="27" t="n"/>
      <c r="EC78" s="27" t="n"/>
      <c r="ED78" s="27" t="n"/>
      <c r="EE78" s="27" t="n"/>
      <c r="EF78" s="27" t="n"/>
      <c r="EG78" s="27" t="n"/>
      <c r="EH78" s="27" t="n"/>
      <c r="EI78" s="27" t="n"/>
      <c r="EJ78" s="27" t="n"/>
      <c r="EK78" s="27" t="n"/>
      <c r="EL78" s="27" t="n"/>
      <c r="EM78" s="27" t="n"/>
      <c r="EN78" s="27" t="n"/>
      <c r="EO78" s="27" t="n"/>
      <c r="EP78" s="27" t="n"/>
      <c r="EQ78" s="27" t="n"/>
      <c r="ER78" s="27" t="n"/>
      <c r="ES78" s="27" t="n"/>
      <c r="ET78" s="27" t="n"/>
      <c r="EU78" s="27" t="n"/>
      <c r="EV78" s="27" t="n"/>
      <c r="EW78" s="27" t="n"/>
      <c r="EX78" s="27" t="n"/>
      <c r="EY78" s="27" t="n"/>
      <c r="EZ78" s="27" t="n"/>
      <c r="FA78" s="27" t="n"/>
      <c r="FB78" s="27" t="n"/>
      <c r="FC78" s="27" t="n"/>
      <c r="FD78" s="27" t="n"/>
      <c r="FE78" s="27" t="n"/>
      <c r="FF78" s="27" t="n"/>
      <c r="FG78" s="27" t="n"/>
      <c r="FH78" s="27" t="n"/>
      <c r="FI78" s="27" t="n"/>
      <c r="FJ78" s="27" t="n"/>
      <c r="FK78" s="27" t="n"/>
      <c r="FL78" s="27" t="n"/>
      <c r="FM78" s="27" t="n"/>
      <c r="FN78" s="27" t="n"/>
      <c r="FO78" s="27" t="n"/>
      <c r="FP78" s="27" t="n"/>
      <c r="FQ78" s="27" t="n"/>
      <c r="FR78" s="27" t="n"/>
      <c r="FS78" s="27" t="n"/>
      <c r="FT78" s="27" t="n"/>
      <c r="FU78" s="27" t="n"/>
      <c r="FV78" s="27" t="n"/>
      <c r="FW78" s="27" t="n"/>
      <c r="FX78" s="27" t="n"/>
      <c r="FY78" s="27" t="n"/>
      <c r="FZ78" s="27" t="n"/>
      <c r="GA78" s="27" t="n"/>
      <c r="GB78" s="27" t="n"/>
      <c r="GC78" s="27" t="n"/>
      <c r="GD78" s="27" t="n"/>
      <c r="GE78" s="27" t="n"/>
      <c r="GF78" s="27" t="n"/>
      <c r="GG78" s="27" t="n"/>
      <c r="GH78" s="27" t="n"/>
      <c r="GI78" s="27" t="n"/>
      <c r="GJ78" s="27" t="n"/>
      <c r="GK78" s="27" t="n"/>
      <c r="GL78" s="27" t="n"/>
      <c r="GM78" s="27" t="n"/>
      <c r="GN78" s="27" t="n"/>
      <c r="GO78" s="27" t="n"/>
      <c r="GP78" s="27" t="n"/>
      <c r="GQ78" s="27" t="n"/>
      <c r="GR78" s="27" t="n"/>
      <c r="GS78" s="27" t="n"/>
      <c r="GT78" s="27" t="n"/>
      <c r="GU78" s="27" t="n"/>
      <c r="GV78" s="27" t="n"/>
      <c r="GW78" s="27" t="n"/>
      <c r="GX78" s="27" t="n"/>
      <c r="GY78" s="27" t="n"/>
      <c r="GZ78" s="27" t="n"/>
      <c r="HA78" s="27" t="n"/>
      <c r="HB78" s="27" t="n"/>
      <c r="HC78" s="27" t="n"/>
      <c r="HD78" s="27" t="n"/>
      <c r="HE78" s="27" t="n"/>
      <c r="HF78" s="27" t="n"/>
      <c r="HG78" s="27" t="n"/>
      <c r="HH78" s="27" t="n"/>
      <c r="HI78" s="27" t="n"/>
      <c r="HJ78" s="27" t="n"/>
      <c r="HK78" s="27" t="n"/>
      <c r="HL78" s="27" t="n"/>
      <c r="HM78" s="27" t="n"/>
      <c r="HN78" s="27" t="n"/>
      <c r="HO78" s="27" t="n"/>
      <c r="HP78" s="27" t="n"/>
      <c r="HQ78" s="27" t="n"/>
      <c r="HR78" s="27" t="n"/>
      <c r="HS78" s="27" t="n"/>
      <c r="HT78" s="27" t="n"/>
      <c r="HU78" s="27" t="n"/>
      <c r="HV78" s="27" t="n"/>
      <c r="HW78" s="27" t="n"/>
      <c r="HX78" s="27" t="n"/>
      <c r="HY78" s="27" t="n"/>
      <c r="HZ78" s="27" t="n"/>
      <c r="IA78" s="27" t="n"/>
      <c r="IB78" s="27" t="n"/>
      <c r="IC78" s="27" t="n"/>
      <c r="ID78" s="27" t="n"/>
      <c r="IE78" s="27" t="n"/>
      <c r="IF78" s="27" t="n"/>
      <c r="IG78" s="27" t="n"/>
      <c r="IH78" s="27" t="n"/>
      <c r="II78" s="27" t="n"/>
      <c r="IJ78" s="27" t="n"/>
      <c r="IK78" s="27" t="n"/>
      <c r="IL78" s="27" t="n"/>
      <c r="IM78" s="27" t="n"/>
      <c r="IN78" s="27" t="n"/>
      <c r="IO78" s="27" t="n"/>
      <c r="IP78" s="27" t="n"/>
      <c r="IQ78" s="27" t="n"/>
      <c r="IR78" s="27" t="n"/>
      <c r="IS78" s="27" t="n"/>
      <c r="IT78" s="27" t="n"/>
      <c r="IU78" s="27" t="n"/>
      <c r="IV78" s="27" t="n"/>
    </row>
    <row r="79" ht="13" customHeight="1" s="195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  <c r="AA79" s="27" t="n"/>
      <c r="AB79" s="27" t="n"/>
      <c r="AC79" s="27" t="n"/>
      <c r="AD79" s="27" t="n"/>
      <c r="AE79" s="27" t="n"/>
      <c r="AF79" s="27" t="n"/>
      <c r="AG79" s="27" t="n"/>
      <c r="AH79" s="27" t="n"/>
      <c r="AI79" s="27" t="n"/>
      <c r="AJ79" s="27" t="n"/>
      <c r="AK79" s="27" t="n"/>
      <c r="AL79" s="27" t="n"/>
      <c r="AM79" s="27" t="n"/>
      <c r="AN79" s="27" t="n"/>
      <c r="AO79" s="27" t="n"/>
      <c r="AP79" s="27" t="n"/>
      <c r="AQ79" s="27" t="n"/>
      <c r="AR79" s="27" t="n"/>
      <c r="AS79" s="27" t="n"/>
      <c r="AT79" s="27" t="n"/>
      <c r="AU79" s="27" t="n"/>
      <c r="AV79" s="27" t="n"/>
      <c r="AW79" s="27" t="n"/>
      <c r="AX79" s="27" t="n"/>
      <c r="AY79" s="27" t="n"/>
      <c r="AZ79" s="27" t="n"/>
      <c r="BA79" s="27" t="n"/>
      <c r="BB79" s="27" t="n"/>
      <c r="BC79" s="27" t="n"/>
      <c r="BD79" s="27" t="n"/>
      <c r="BE79" s="27" t="n"/>
      <c r="BF79" s="27" t="n"/>
      <c r="BG79" s="27" t="n"/>
      <c r="BH79" s="27" t="n"/>
      <c r="BI79" s="27" t="n"/>
      <c r="BJ79" s="27" t="n"/>
      <c r="BK79" s="27" t="n"/>
      <c r="BL79" s="27" t="n"/>
      <c r="BM79" s="27" t="n"/>
      <c r="BN79" s="27" t="n"/>
      <c r="BO79" s="27" t="n"/>
      <c r="BP79" s="27" t="n"/>
      <c r="BQ79" s="27" t="n"/>
      <c r="BR79" s="27" t="n"/>
      <c r="BS79" s="27" t="n"/>
      <c r="BT79" s="27" t="n"/>
      <c r="BU79" s="27" t="n"/>
      <c r="BV79" s="27" t="n"/>
      <c r="BW79" s="27" t="n"/>
      <c r="BX79" s="27" t="n"/>
      <c r="BY79" s="27" t="n"/>
      <c r="BZ79" s="27" t="n"/>
      <c r="CA79" s="27" t="n"/>
      <c r="CB79" s="27" t="n"/>
      <c r="CC79" s="27" t="n"/>
      <c r="CD79" s="27" t="n"/>
      <c r="CE79" s="27" t="n"/>
      <c r="CF79" s="27" t="n"/>
      <c r="CG79" s="27" t="n"/>
      <c r="CH79" s="27" t="n"/>
      <c r="CI79" s="27" t="n"/>
      <c r="CJ79" s="27" t="n"/>
      <c r="CK79" s="27" t="n"/>
      <c r="CL79" s="27" t="n"/>
      <c r="CM79" s="27" t="n"/>
      <c r="CN79" s="27" t="n"/>
      <c r="CO79" s="27" t="n"/>
      <c r="CP79" s="27" t="n"/>
      <c r="CQ79" s="27" t="n"/>
      <c r="CR79" s="27" t="n"/>
      <c r="CS79" s="27" t="n"/>
      <c r="CT79" s="27" t="n"/>
      <c r="CU79" s="27" t="n"/>
      <c r="CV79" s="27" t="n"/>
      <c r="CW79" s="27" t="n"/>
      <c r="CX79" s="27" t="n"/>
      <c r="CY79" s="27" t="n"/>
      <c r="CZ79" s="27" t="n"/>
      <c r="DA79" s="27" t="n"/>
      <c r="DB79" s="27" t="n"/>
      <c r="DC79" s="27" t="n"/>
      <c r="DD79" s="27" t="n"/>
      <c r="DE79" s="27" t="n"/>
      <c r="DF79" s="27" t="n"/>
      <c r="DG79" s="27" t="n"/>
      <c r="DH79" s="27" t="n"/>
      <c r="DI79" s="27" t="n"/>
      <c r="DJ79" s="27" t="n"/>
      <c r="DK79" s="27" t="n"/>
      <c r="DL79" s="27" t="n"/>
      <c r="DM79" s="27" t="n"/>
      <c r="DN79" s="27" t="n"/>
      <c r="DO79" s="27" t="n"/>
      <c r="DP79" s="27" t="n"/>
      <c r="DQ79" s="27" t="n"/>
      <c r="DR79" s="27" t="n"/>
      <c r="DS79" s="27" t="n"/>
      <c r="DT79" s="27" t="n"/>
      <c r="DU79" s="27" t="n"/>
      <c r="DV79" s="27" t="n"/>
      <c r="DW79" s="27" t="n"/>
      <c r="DX79" s="27" t="n"/>
      <c r="DY79" s="27" t="n"/>
      <c r="DZ79" s="27" t="n"/>
      <c r="EA79" s="27" t="n"/>
      <c r="EB79" s="27" t="n"/>
      <c r="EC79" s="27" t="n"/>
      <c r="ED79" s="27" t="n"/>
      <c r="EE79" s="27" t="n"/>
      <c r="EF79" s="27" t="n"/>
      <c r="EG79" s="27" t="n"/>
      <c r="EH79" s="27" t="n"/>
      <c r="EI79" s="27" t="n"/>
      <c r="EJ79" s="27" t="n"/>
      <c r="EK79" s="27" t="n"/>
      <c r="EL79" s="27" t="n"/>
      <c r="EM79" s="27" t="n"/>
      <c r="EN79" s="27" t="n"/>
      <c r="EO79" s="27" t="n"/>
      <c r="EP79" s="27" t="n"/>
      <c r="EQ79" s="27" t="n"/>
      <c r="ER79" s="27" t="n"/>
      <c r="ES79" s="27" t="n"/>
      <c r="ET79" s="27" t="n"/>
      <c r="EU79" s="27" t="n"/>
      <c r="EV79" s="27" t="n"/>
      <c r="EW79" s="27" t="n"/>
      <c r="EX79" s="27" t="n"/>
      <c r="EY79" s="27" t="n"/>
      <c r="EZ79" s="27" t="n"/>
      <c r="FA79" s="27" t="n"/>
      <c r="FB79" s="27" t="n"/>
      <c r="FC79" s="27" t="n"/>
      <c r="FD79" s="27" t="n"/>
      <c r="FE79" s="27" t="n"/>
      <c r="FF79" s="27" t="n"/>
      <c r="FG79" s="27" t="n"/>
      <c r="FH79" s="27" t="n"/>
      <c r="FI79" s="27" t="n"/>
      <c r="FJ79" s="27" t="n"/>
      <c r="FK79" s="27" t="n"/>
      <c r="FL79" s="27" t="n"/>
      <c r="FM79" s="27" t="n"/>
      <c r="FN79" s="27" t="n"/>
      <c r="FO79" s="27" t="n"/>
      <c r="FP79" s="27" t="n"/>
      <c r="FQ79" s="27" t="n"/>
      <c r="FR79" s="27" t="n"/>
      <c r="FS79" s="27" t="n"/>
      <c r="FT79" s="27" t="n"/>
      <c r="FU79" s="27" t="n"/>
      <c r="FV79" s="27" t="n"/>
      <c r="FW79" s="27" t="n"/>
      <c r="FX79" s="27" t="n"/>
      <c r="FY79" s="27" t="n"/>
      <c r="FZ79" s="27" t="n"/>
      <c r="GA79" s="27" t="n"/>
      <c r="GB79" s="27" t="n"/>
      <c r="GC79" s="27" t="n"/>
      <c r="GD79" s="27" t="n"/>
      <c r="GE79" s="27" t="n"/>
      <c r="GF79" s="27" t="n"/>
      <c r="GG79" s="27" t="n"/>
      <c r="GH79" s="27" t="n"/>
      <c r="GI79" s="27" t="n"/>
      <c r="GJ79" s="27" t="n"/>
      <c r="GK79" s="27" t="n"/>
      <c r="GL79" s="27" t="n"/>
      <c r="GM79" s="27" t="n"/>
      <c r="GN79" s="27" t="n"/>
      <c r="GO79" s="27" t="n"/>
      <c r="GP79" s="27" t="n"/>
      <c r="GQ79" s="27" t="n"/>
      <c r="GR79" s="27" t="n"/>
      <c r="GS79" s="27" t="n"/>
      <c r="GT79" s="27" t="n"/>
      <c r="GU79" s="27" t="n"/>
      <c r="GV79" s="27" t="n"/>
      <c r="GW79" s="27" t="n"/>
      <c r="GX79" s="27" t="n"/>
      <c r="GY79" s="27" t="n"/>
      <c r="GZ79" s="27" t="n"/>
      <c r="HA79" s="27" t="n"/>
      <c r="HB79" s="27" t="n"/>
      <c r="HC79" s="27" t="n"/>
      <c r="HD79" s="27" t="n"/>
      <c r="HE79" s="27" t="n"/>
      <c r="HF79" s="27" t="n"/>
      <c r="HG79" s="27" t="n"/>
      <c r="HH79" s="27" t="n"/>
      <c r="HI79" s="27" t="n"/>
      <c r="HJ79" s="27" t="n"/>
      <c r="HK79" s="27" t="n"/>
      <c r="HL79" s="27" t="n"/>
      <c r="HM79" s="27" t="n"/>
      <c r="HN79" s="27" t="n"/>
      <c r="HO79" s="27" t="n"/>
      <c r="HP79" s="27" t="n"/>
      <c r="HQ79" s="27" t="n"/>
      <c r="HR79" s="27" t="n"/>
      <c r="HS79" s="27" t="n"/>
      <c r="HT79" s="27" t="n"/>
      <c r="HU79" s="27" t="n"/>
      <c r="HV79" s="27" t="n"/>
      <c r="HW79" s="27" t="n"/>
      <c r="HX79" s="27" t="n"/>
      <c r="HY79" s="27" t="n"/>
      <c r="HZ79" s="27" t="n"/>
      <c r="IA79" s="27" t="n"/>
      <c r="IB79" s="27" t="n"/>
      <c r="IC79" s="27" t="n"/>
      <c r="ID79" s="27" t="n"/>
      <c r="IE79" s="27" t="n"/>
      <c r="IF79" s="27" t="n"/>
      <c r="IG79" s="27" t="n"/>
      <c r="IH79" s="27" t="n"/>
      <c r="II79" s="27" t="n"/>
      <c r="IJ79" s="27" t="n"/>
      <c r="IK79" s="27" t="n"/>
      <c r="IL79" s="27" t="n"/>
      <c r="IM79" s="27" t="n"/>
      <c r="IN79" s="27" t="n"/>
      <c r="IO79" s="27" t="n"/>
      <c r="IP79" s="27" t="n"/>
      <c r="IQ79" s="27" t="n"/>
      <c r="IR79" s="27" t="n"/>
      <c r="IS79" s="27" t="n"/>
      <c r="IT79" s="27" t="n"/>
      <c r="IU79" s="27" t="n"/>
      <c r="IV79" s="27" t="n"/>
    </row>
    <row r="80" ht="13" customHeight="1" s="195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  <c r="AA80" s="27" t="n"/>
      <c r="AB80" s="27" t="n"/>
      <c r="AC80" s="27" t="n"/>
      <c r="AD80" s="27" t="n"/>
      <c r="AE80" s="27" t="n"/>
      <c r="AF80" s="27" t="n"/>
      <c r="AG80" s="27" t="n"/>
      <c r="AH80" s="27" t="n"/>
      <c r="AI80" s="27" t="n"/>
      <c r="AJ80" s="27" t="n"/>
      <c r="AK80" s="27" t="n"/>
      <c r="AL80" s="27" t="n"/>
      <c r="AM80" s="27" t="n"/>
      <c r="AN80" s="27" t="n"/>
      <c r="AO80" s="27" t="n"/>
      <c r="AP80" s="27" t="n"/>
      <c r="AQ80" s="27" t="n"/>
      <c r="AR80" s="27" t="n"/>
      <c r="AS80" s="27" t="n"/>
      <c r="AT80" s="27" t="n"/>
      <c r="AU80" s="27" t="n"/>
      <c r="AV80" s="27" t="n"/>
      <c r="AW80" s="27" t="n"/>
      <c r="AX80" s="27" t="n"/>
      <c r="AY80" s="27" t="n"/>
      <c r="AZ80" s="27" t="n"/>
      <c r="BA80" s="27" t="n"/>
      <c r="BB80" s="27" t="n"/>
      <c r="BC80" s="27" t="n"/>
      <c r="BD80" s="27" t="n"/>
      <c r="BE80" s="27" t="n"/>
      <c r="BF80" s="27" t="n"/>
      <c r="BG80" s="27" t="n"/>
      <c r="BH80" s="27" t="n"/>
      <c r="BI80" s="27" t="n"/>
      <c r="BJ80" s="27" t="n"/>
      <c r="BK80" s="27" t="n"/>
      <c r="BL80" s="27" t="n"/>
      <c r="BM80" s="27" t="n"/>
      <c r="BN80" s="27" t="n"/>
      <c r="BO80" s="27" t="n"/>
      <c r="BP80" s="27" t="n"/>
      <c r="BQ80" s="27" t="n"/>
      <c r="BR80" s="27" t="n"/>
      <c r="BS80" s="27" t="n"/>
      <c r="BT80" s="27" t="n"/>
      <c r="BU80" s="27" t="n"/>
      <c r="BV80" s="27" t="n"/>
      <c r="BW80" s="27" t="n"/>
      <c r="BX80" s="27" t="n"/>
      <c r="BY80" s="27" t="n"/>
      <c r="BZ80" s="27" t="n"/>
      <c r="CA80" s="27" t="n"/>
      <c r="CB80" s="27" t="n"/>
      <c r="CC80" s="27" t="n"/>
      <c r="CD80" s="27" t="n"/>
      <c r="CE80" s="27" t="n"/>
      <c r="CF80" s="27" t="n"/>
      <c r="CG80" s="27" t="n"/>
      <c r="CH80" s="27" t="n"/>
      <c r="CI80" s="27" t="n"/>
      <c r="CJ80" s="27" t="n"/>
      <c r="CK80" s="27" t="n"/>
      <c r="CL80" s="27" t="n"/>
      <c r="CM80" s="27" t="n"/>
      <c r="CN80" s="27" t="n"/>
      <c r="CO80" s="27" t="n"/>
      <c r="CP80" s="27" t="n"/>
      <c r="CQ80" s="27" t="n"/>
      <c r="CR80" s="27" t="n"/>
      <c r="CS80" s="27" t="n"/>
      <c r="CT80" s="27" t="n"/>
      <c r="CU80" s="27" t="n"/>
      <c r="CV80" s="27" t="n"/>
      <c r="CW80" s="27" t="n"/>
      <c r="CX80" s="27" t="n"/>
      <c r="CY80" s="27" t="n"/>
      <c r="CZ80" s="27" t="n"/>
      <c r="DA80" s="27" t="n"/>
      <c r="DB80" s="27" t="n"/>
      <c r="DC80" s="27" t="n"/>
      <c r="DD80" s="27" t="n"/>
      <c r="DE80" s="27" t="n"/>
      <c r="DF80" s="27" t="n"/>
      <c r="DG80" s="27" t="n"/>
      <c r="DH80" s="27" t="n"/>
      <c r="DI80" s="27" t="n"/>
      <c r="DJ80" s="27" t="n"/>
      <c r="DK80" s="27" t="n"/>
      <c r="DL80" s="27" t="n"/>
      <c r="DM80" s="27" t="n"/>
      <c r="DN80" s="27" t="n"/>
      <c r="DO80" s="27" t="n"/>
      <c r="DP80" s="27" t="n"/>
      <c r="DQ80" s="27" t="n"/>
      <c r="DR80" s="27" t="n"/>
      <c r="DS80" s="27" t="n"/>
      <c r="DT80" s="27" t="n"/>
      <c r="DU80" s="27" t="n"/>
      <c r="DV80" s="27" t="n"/>
      <c r="DW80" s="27" t="n"/>
      <c r="DX80" s="27" t="n"/>
      <c r="DY80" s="27" t="n"/>
      <c r="DZ80" s="27" t="n"/>
      <c r="EA80" s="27" t="n"/>
      <c r="EB80" s="27" t="n"/>
      <c r="EC80" s="27" t="n"/>
      <c r="ED80" s="27" t="n"/>
      <c r="EE80" s="27" t="n"/>
      <c r="EF80" s="27" t="n"/>
      <c r="EG80" s="27" t="n"/>
      <c r="EH80" s="27" t="n"/>
      <c r="EI80" s="27" t="n"/>
      <c r="EJ80" s="27" t="n"/>
      <c r="EK80" s="27" t="n"/>
      <c r="EL80" s="27" t="n"/>
      <c r="EM80" s="27" t="n"/>
      <c r="EN80" s="27" t="n"/>
      <c r="EO80" s="27" t="n"/>
      <c r="EP80" s="27" t="n"/>
      <c r="EQ80" s="27" t="n"/>
      <c r="ER80" s="27" t="n"/>
      <c r="ES80" s="27" t="n"/>
      <c r="ET80" s="27" t="n"/>
      <c r="EU80" s="27" t="n"/>
      <c r="EV80" s="27" t="n"/>
      <c r="EW80" s="27" t="n"/>
      <c r="EX80" s="27" t="n"/>
      <c r="EY80" s="27" t="n"/>
      <c r="EZ80" s="27" t="n"/>
      <c r="FA80" s="27" t="n"/>
      <c r="FB80" s="27" t="n"/>
      <c r="FC80" s="27" t="n"/>
      <c r="FD80" s="27" t="n"/>
      <c r="FE80" s="27" t="n"/>
      <c r="FF80" s="27" t="n"/>
      <c r="FG80" s="27" t="n"/>
      <c r="FH80" s="27" t="n"/>
      <c r="FI80" s="27" t="n"/>
      <c r="FJ80" s="27" t="n"/>
      <c r="FK80" s="27" t="n"/>
      <c r="FL80" s="27" t="n"/>
      <c r="FM80" s="27" t="n"/>
      <c r="FN80" s="27" t="n"/>
      <c r="FO80" s="27" t="n"/>
      <c r="FP80" s="27" t="n"/>
      <c r="FQ80" s="27" t="n"/>
      <c r="FR80" s="27" t="n"/>
      <c r="FS80" s="27" t="n"/>
      <c r="FT80" s="27" t="n"/>
      <c r="FU80" s="27" t="n"/>
      <c r="FV80" s="27" t="n"/>
      <c r="FW80" s="27" t="n"/>
      <c r="FX80" s="27" t="n"/>
      <c r="FY80" s="27" t="n"/>
      <c r="FZ80" s="27" t="n"/>
      <c r="GA80" s="27" t="n"/>
      <c r="GB80" s="27" t="n"/>
      <c r="GC80" s="27" t="n"/>
      <c r="GD80" s="27" t="n"/>
      <c r="GE80" s="27" t="n"/>
      <c r="GF80" s="27" t="n"/>
      <c r="GG80" s="27" t="n"/>
      <c r="GH80" s="27" t="n"/>
      <c r="GI80" s="27" t="n"/>
      <c r="GJ80" s="27" t="n"/>
      <c r="GK80" s="27" t="n"/>
      <c r="GL80" s="27" t="n"/>
      <c r="GM80" s="27" t="n"/>
      <c r="GN80" s="27" t="n"/>
      <c r="GO80" s="27" t="n"/>
      <c r="GP80" s="27" t="n"/>
      <c r="GQ80" s="27" t="n"/>
      <c r="GR80" s="27" t="n"/>
      <c r="GS80" s="27" t="n"/>
      <c r="GT80" s="27" t="n"/>
      <c r="GU80" s="27" t="n"/>
      <c r="GV80" s="27" t="n"/>
      <c r="GW80" s="27" t="n"/>
      <c r="GX80" s="27" t="n"/>
      <c r="GY80" s="27" t="n"/>
      <c r="GZ80" s="27" t="n"/>
      <c r="HA80" s="27" t="n"/>
      <c r="HB80" s="27" t="n"/>
      <c r="HC80" s="27" t="n"/>
      <c r="HD80" s="27" t="n"/>
      <c r="HE80" s="27" t="n"/>
      <c r="HF80" s="27" t="n"/>
      <c r="HG80" s="27" t="n"/>
      <c r="HH80" s="27" t="n"/>
      <c r="HI80" s="27" t="n"/>
      <c r="HJ80" s="27" t="n"/>
      <c r="HK80" s="27" t="n"/>
      <c r="HL80" s="27" t="n"/>
      <c r="HM80" s="27" t="n"/>
      <c r="HN80" s="27" t="n"/>
      <c r="HO80" s="27" t="n"/>
      <c r="HP80" s="27" t="n"/>
      <c r="HQ80" s="27" t="n"/>
      <c r="HR80" s="27" t="n"/>
      <c r="HS80" s="27" t="n"/>
      <c r="HT80" s="27" t="n"/>
      <c r="HU80" s="27" t="n"/>
      <c r="HV80" s="27" t="n"/>
      <c r="HW80" s="27" t="n"/>
      <c r="HX80" s="27" t="n"/>
      <c r="HY80" s="27" t="n"/>
      <c r="HZ80" s="27" t="n"/>
      <c r="IA80" s="27" t="n"/>
      <c r="IB80" s="27" t="n"/>
      <c r="IC80" s="27" t="n"/>
      <c r="ID80" s="27" t="n"/>
      <c r="IE80" s="27" t="n"/>
      <c r="IF80" s="27" t="n"/>
      <c r="IG80" s="27" t="n"/>
      <c r="IH80" s="27" t="n"/>
      <c r="II80" s="27" t="n"/>
      <c r="IJ80" s="27" t="n"/>
      <c r="IK80" s="27" t="n"/>
      <c r="IL80" s="27" t="n"/>
      <c r="IM80" s="27" t="n"/>
      <c r="IN80" s="27" t="n"/>
      <c r="IO80" s="27" t="n"/>
      <c r="IP80" s="27" t="n"/>
      <c r="IQ80" s="27" t="n"/>
      <c r="IR80" s="27" t="n"/>
      <c r="IS80" s="27" t="n"/>
      <c r="IT80" s="27" t="n"/>
      <c r="IU80" s="27" t="n"/>
      <c r="IV80" s="27" t="n"/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  <c r="AA81" s="27" t="n"/>
      <c r="AB81" s="27" t="n"/>
      <c r="AC81" s="27" t="n"/>
      <c r="AD81" s="27" t="n"/>
      <c r="AE81" s="27" t="n"/>
      <c r="AF81" s="27" t="n"/>
      <c r="AG81" s="27" t="n"/>
      <c r="AH81" s="27" t="n"/>
      <c r="AI81" s="27" t="n"/>
      <c r="AJ81" s="27" t="n"/>
      <c r="AK81" s="27" t="n"/>
      <c r="AL81" s="27" t="n"/>
      <c r="AM81" s="27" t="n"/>
      <c r="AN81" s="27" t="n"/>
      <c r="AO81" s="27" t="n"/>
      <c r="AP81" s="27" t="n"/>
      <c r="AQ81" s="27" t="n"/>
      <c r="AR81" s="27" t="n"/>
      <c r="AS81" s="27" t="n"/>
      <c r="AT81" s="27" t="n"/>
      <c r="AU81" s="27" t="n"/>
      <c r="AV81" s="27" t="n"/>
      <c r="AW81" s="27" t="n"/>
      <c r="AX81" s="27" t="n"/>
      <c r="AY81" s="27" t="n"/>
      <c r="AZ81" s="27" t="n"/>
      <c r="BA81" s="27" t="n"/>
      <c r="BB81" s="27" t="n"/>
      <c r="BC81" s="27" t="n"/>
      <c r="BD81" s="27" t="n"/>
      <c r="BE81" s="27" t="n"/>
      <c r="BF81" s="27" t="n"/>
      <c r="BG81" s="27" t="n"/>
      <c r="BH81" s="27" t="n"/>
      <c r="BI81" s="27" t="n"/>
      <c r="BJ81" s="27" t="n"/>
      <c r="BK81" s="27" t="n"/>
      <c r="BL81" s="27" t="n"/>
      <c r="BM81" s="27" t="n"/>
      <c r="BN81" s="27" t="n"/>
      <c r="BO81" s="27" t="n"/>
      <c r="BP81" s="27" t="n"/>
      <c r="BQ81" s="27" t="n"/>
      <c r="BR81" s="27" t="n"/>
      <c r="BS81" s="27" t="n"/>
      <c r="BT81" s="27" t="n"/>
      <c r="BU81" s="27" t="n"/>
      <c r="BV81" s="27" t="n"/>
      <c r="BW81" s="27" t="n"/>
      <c r="BX81" s="27" t="n"/>
      <c r="BY81" s="27" t="n"/>
      <c r="BZ81" s="27" t="n"/>
      <c r="CA81" s="27" t="n"/>
      <c r="CB81" s="27" t="n"/>
      <c r="CC81" s="27" t="n"/>
      <c r="CD81" s="27" t="n"/>
      <c r="CE81" s="27" t="n"/>
      <c r="CF81" s="27" t="n"/>
      <c r="CG81" s="27" t="n"/>
      <c r="CH81" s="27" t="n"/>
      <c r="CI81" s="27" t="n"/>
      <c r="CJ81" s="27" t="n"/>
      <c r="CK81" s="27" t="n"/>
      <c r="CL81" s="27" t="n"/>
      <c r="CM81" s="27" t="n"/>
      <c r="CN81" s="27" t="n"/>
      <c r="CO81" s="27" t="n"/>
      <c r="CP81" s="27" t="n"/>
      <c r="CQ81" s="27" t="n"/>
      <c r="CR81" s="27" t="n"/>
      <c r="CS81" s="27" t="n"/>
      <c r="CT81" s="27" t="n"/>
      <c r="CU81" s="27" t="n"/>
      <c r="CV81" s="27" t="n"/>
      <c r="CW81" s="27" t="n"/>
      <c r="CX81" s="27" t="n"/>
      <c r="CY81" s="27" t="n"/>
      <c r="CZ81" s="27" t="n"/>
      <c r="DA81" s="27" t="n"/>
      <c r="DB81" s="27" t="n"/>
      <c r="DC81" s="27" t="n"/>
      <c r="DD81" s="27" t="n"/>
      <c r="DE81" s="27" t="n"/>
      <c r="DF81" s="27" t="n"/>
      <c r="DG81" s="27" t="n"/>
      <c r="DH81" s="27" t="n"/>
      <c r="DI81" s="27" t="n"/>
      <c r="DJ81" s="27" t="n"/>
      <c r="DK81" s="27" t="n"/>
      <c r="DL81" s="27" t="n"/>
      <c r="DM81" s="27" t="n"/>
      <c r="DN81" s="27" t="n"/>
      <c r="DO81" s="27" t="n"/>
      <c r="DP81" s="27" t="n"/>
      <c r="DQ81" s="27" t="n"/>
      <c r="DR81" s="27" t="n"/>
      <c r="DS81" s="27" t="n"/>
      <c r="DT81" s="27" t="n"/>
      <c r="DU81" s="27" t="n"/>
      <c r="DV81" s="27" t="n"/>
      <c r="DW81" s="27" t="n"/>
      <c r="DX81" s="27" t="n"/>
      <c r="DY81" s="27" t="n"/>
      <c r="DZ81" s="27" t="n"/>
      <c r="EA81" s="27" t="n"/>
      <c r="EB81" s="27" t="n"/>
      <c r="EC81" s="27" t="n"/>
      <c r="ED81" s="27" t="n"/>
      <c r="EE81" s="27" t="n"/>
      <c r="EF81" s="27" t="n"/>
      <c r="EG81" s="27" t="n"/>
      <c r="EH81" s="27" t="n"/>
      <c r="EI81" s="27" t="n"/>
      <c r="EJ81" s="27" t="n"/>
      <c r="EK81" s="27" t="n"/>
      <c r="EL81" s="27" t="n"/>
      <c r="EM81" s="27" t="n"/>
      <c r="EN81" s="27" t="n"/>
      <c r="EO81" s="27" t="n"/>
      <c r="EP81" s="27" t="n"/>
      <c r="EQ81" s="27" t="n"/>
      <c r="ER81" s="27" t="n"/>
      <c r="ES81" s="27" t="n"/>
      <c r="ET81" s="27" t="n"/>
      <c r="EU81" s="27" t="n"/>
      <c r="EV81" s="27" t="n"/>
      <c r="EW81" s="27" t="n"/>
      <c r="EX81" s="27" t="n"/>
      <c r="EY81" s="27" t="n"/>
      <c r="EZ81" s="27" t="n"/>
      <c r="FA81" s="27" t="n"/>
      <c r="FB81" s="27" t="n"/>
      <c r="FC81" s="27" t="n"/>
      <c r="FD81" s="27" t="n"/>
      <c r="FE81" s="27" t="n"/>
      <c r="FF81" s="27" t="n"/>
      <c r="FG81" s="27" t="n"/>
      <c r="FH81" s="27" t="n"/>
      <c r="FI81" s="27" t="n"/>
      <c r="FJ81" s="27" t="n"/>
      <c r="FK81" s="27" t="n"/>
      <c r="FL81" s="27" t="n"/>
      <c r="FM81" s="27" t="n"/>
      <c r="FN81" s="27" t="n"/>
      <c r="FO81" s="27" t="n"/>
      <c r="FP81" s="27" t="n"/>
      <c r="FQ81" s="27" t="n"/>
      <c r="FR81" s="27" t="n"/>
      <c r="FS81" s="27" t="n"/>
      <c r="FT81" s="27" t="n"/>
      <c r="FU81" s="27" t="n"/>
      <c r="FV81" s="27" t="n"/>
      <c r="FW81" s="27" t="n"/>
      <c r="FX81" s="27" t="n"/>
      <c r="FY81" s="27" t="n"/>
      <c r="FZ81" s="27" t="n"/>
      <c r="GA81" s="27" t="n"/>
      <c r="GB81" s="27" t="n"/>
      <c r="GC81" s="27" t="n"/>
      <c r="GD81" s="27" t="n"/>
      <c r="GE81" s="27" t="n"/>
      <c r="GF81" s="27" t="n"/>
      <c r="GG81" s="27" t="n"/>
      <c r="GH81" s="27" t="n"/>
      <c r="GI81" s="27" t="n"/>
      <c r="GJ81" s="27" t="n"/>
      <c r="GK81" s="27" t="n"/>
      <c r="GL81" s="27" t="n"/>
      <c r="GM81" s="27" t="n"/>
      <c r="GN81" s="27" t="n"/>
      <c r="GO81" s="27" t="n"/>
      <c r="GP81" s="27" t="n"/>
      <c r="GQ81" s="27" t="n"/>
      <c r="GR81" s="27" t="n"/>
      <c r="GS81" s="27" t="n"/>
      <c r="GT81" s="27" t="n"/>
      <c r="GU81" s="27" t="n"/>
      <c r="GV81" s="27" t="n"/>
      <c r="GW81" s="27" t="n"/>
      <c r="GX81" s="27" t="n"/>
      <c r="GY81" s="27" t="n"/>
      <c r="GZ81" s="27" t="n"/>
      <c r="HA81" s="27" t="n"/>
      <c r="HB81" s="27" t="n"/>
      <c r="HC81" s="27" t="n"/>
      <c r="HD81" s="27" t="n"/>
      <c r="HE81" s="27" t="n"/>
      <c r="HF81" s="27" t="n"/>
      <c r="HG81" s="27" t="n"/>
      <c r="HH81" s="27" t="n"/>
      <c r="HI81" s="27" t="n"/>
      <c r="HJ81" s="27" t="n"/>
      <c r="HK81" s="27" t="n"/>
      <c r="HL81" s="27" t="n"/>
      <c r="HM81" s="27" t="n"/>
      <c r="HN81" s="27" t="n"/>
      <c r="HO81" s="27" t="n"/>
      <c r="HP81" s="27" t="n"/>
      <c r="HQ81" s="27" t="n"/>
      <c r="HR81" s="27" t="n"/>
      <c r="HS81" s="27" t="n"/>
      <c r="HT81" s="27" t="n"/>
      <c r="HU81" s="27" t="n"/>
      <c r="HV81" s="27" t="n"/>
      <c r="HW81" s="27" t="n"/>
      <c r="HX81" s="27" t="n"/>
      <c r="HY81" s="27" t="n"/>
      <c r="HZ81" s="27" t="n"/>
      <c r="IA81" s="27" t="n"/>
      <c r="IB81" s="27" t="n"/>
      <c r="IC81" s="27" t="n"/>
      <c r="ID81" s="27" t="n"/>
      <c r="IE81" s="27" t="n"/>
      <c r="IF81" s="27" t="n"/>
      <c r="IG81" s="27" t="n"/>
      <c r="IH81" s="27" t="n"/>
      <c r="II81" s="27" t="n"/>
      <c r="IJ81" s="27" t="n"/>
      <c r="IK81" s="27" t="n"/>
      <c r="IL81" s="27" t="n"/>
      <c r="IM81" s="27" t="n"/>
      <c r="IN81" s="27" t="n"/>
      <c r="IO81" s="27" t="n"/>
      <c r="IP81" s="27" t="n"/>
      <c r="IQ81" s="27" t="n"/>
      <c r="IR81" s="27" t="n"/>
      <c r="IS81" s="27" t="n"/>
      <c r="IT81" s="27" t="n"/>
      <c r="IU81" s="27" t="n"/>
      <c r="IV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  <c r="AA82" s="27" t="n"/>
      <c r="AB82" s="27" t="n"/>
      <c r="AC82" s="27" t="n"/>
      <c r="AD82" s="27" t="n"/>
      <c r="AE82" s="27" t="n"/>
      <c r="AF82" s="27" t="n"/>
      <c r="AG82" s="27" t="n"/>
      <c r="AH82" s="27" t="n"/>
      <c r="AI82" s="27" t="n"/>
      <c r="AJ82" s="27" t="n"/>
      <c r="AK82" s="27" t="n"/>
      <c r="AL82" s="27" t="n"/>
      <c r="AM82" s="27" t="n"/>
      <c r="AN82" s="27" t="n"/>
      <c r="AO82" s="27" t="n"/>
      <c r="AP82" s="27" t="n"/>
      <c r="AQ82" s="27" t="n"/>
      <c r="AR82" s="27" t="n"/>
      <c r="AS82" s="27" t="n"/>
      <c r="AT82" s="27" t="n"/>
      <c r="AU82" s="27" t="n"/>
      <c r="AV82" s="27" t="n"/>
      <c r="AW82" s="27" t="n"/>
      <c r="AX82" s="27" t="n"/>
      <c r="AY82" s="27" t="n"/>
      <c r="AZ82" s="27" t="n"/>
      <c r="BA82" s="27" t="n"/>
      <c r="BB82" s="27" t="n"/>
      <c r="BC82" s="27" t="n"/>
      <c r="BD82" s="27" t="n"/>
      <c r="BE82" s="27" t="n"/>
      <c r="BF82" s="27" t="n"/>
      <c r="BG82" s="27" t="n"/>
      <c r="BH82" s="27" t="n"/>
      <c r="BI82" s="27" t="n"/>
      <c r="BJ82" s="27" t="n"/>
      <c r="BK82" s="27" t="n"/>
      <c r="BL82" s="27" t="n"/>
      <c r="BM82" s="27" t="n"/>
      <c r="BN82" s="27" t="n"/>
      <c r="BO82" s="27" t="n"/>
      <c r="BP82" s="27" t="n"/>
      <c r="BQ82" s="27" t="n"/>
      <c r="BR82" s="27" t="n"/>
      <c r="BS82" s="27" t="n"/>
      <c r="BT82" s="27" t="n"/>
      <c r="BU82" s="27" t="n"/>
      <c r="BV82" s="27" t="n"/>
      <c r="BW82" s="27" t="n"/>
      <c r="BX82" s="27" t="n"/>
      <c r="BY82" s="27" t="n"/>
      <c r="BZ82" s="27" t="n"/>
      <c r="CA82" s="27" t="n"/>
      <c r="CB82" s="27" t="n"/>
      <c r="CC82" s="27" t="n"/>
      <c r="CD82" s="27" t="n"/>
      <c r="CE82" s="27" t="n"/>
      <c r="CF82" s="27" t="n"/>
      <c r="CG82" s="27" t="n"/>
      <c r="CH82" s="27" t="n"/>
      <c r="CI82" s="27" t="n"/>
      <c r="CJ82" s="27" t="n"/>
      <c r="CK82" s="27" t="n"/>
      <c r="CL82" s="27" t="n"/>
      <c r="CM82" s="27" t="n"/>
      <c r="CN82" s="27" t="n"/>
      <c r="CO82" s="27" t="n"/>
      <c r="CP82" s="27" t="n"/>
      <c r="CQ82" s="27" t="n"/>
      <c r="CR82" s="27" t="n"/>
      <c r="CS82" s="27" t="n"/>
      <c r="CT82" s="27" t="n"/>
      <c r="CU82" s="27" t="n"/>
      <c r="CV82" s="27" t="n"/>
      <c r="CW82" s="27" t="n"/>
      <c r="CX82" s="27" t="n"/>
      <c r="CY82" s="27" t="n"/>
      <c r="CZ82" s="27" t="n"/>
      <c r="DA82" s="27" t="n"/>
      <c r="DB82" s="27" t="n"/>
      <c r="DC82" s="27" t="n"/>
      <c r="DD82" s="27" t="n"/>
      <c r="DE82" s="27" t="n"/>
      <c r="DF82" s="27" t="n"/>
      <c r="DG82" s="27" t="n"/>
      <c r="DH82" s="27" t="n"/>
      <c r="DI82" s="27" t="n"/>
      <c r="DJ82" s="27" t="n"/>
      <c r="DK82" s="27" t="n"/>
      <c r="DL82" s="27" t="n"/>
      <c r="DM82" s="27" t="n"/>
      <c r="DN82" s="27" t="n"/>
      <c r="DO82" s="27" t="n"/>
      <c r="DP82" s="27" t="n"/>
      <c r="DQ82" s="27" t="n"/>
      <c r="DR82" s="27" t="n"/>
      <c r="DS82" s="27" t="n"/>
      <c r="DT82" s="27" t="n"/>
      <c r="DU82" s="27" t="n"/>
      <c r="DV82" s="27" t="n"/>
      <c r="DW82" s="27" t="n"/>
      <c r="DX82" s="27" t="n"/>
      <c r="DY82" s="27" t="n"/>
      <c r="DZ82" s="27" t="n"/>
      <c r="EA82" s="27" t="n"/>
      <c r="EB82" s="27" t="n"/>
      <c r="EC82" s="27" t="n"/>
      <c r="ED82" s="27" t="n"/>
      <c r="EE82" s="27" t="n"/>
      <c r="EF82" s="27" t="n"/>
      <c r="EG82" s="27" t="n"/>
      <c r="EH82" s="27" t="n"/>
      <c r="EI82" s="27" t="n"/>
      <c r="EJ82" s="27" t="n"/>
      <c r="EK82" s="27" t="n"/>
      <c r="EL82" s="27" t="n"/>
      <c r="EM82" s="27" t="n"/>
      <c r="EN82" s="27" t="n"/>
      <c r="EO82" s="27" t="n"/>
      <c r="EP82" s="27" t="n"/>
      <c r="EQ82" s="27" t="n"/>
      <c r="ER82" s="27" t="n"/>
      <c r="ES82" s="27" t="n"/>
      <c r="ET82" s="27" t="n"/>
      <c r="EU82" s="27" t="n"/>
      <c r="EV82" s="27" t="n"/>
      <c r="EW82" s="27" t="n"/>
      <c r="EX82" s="27" t="n"/>
      <c r="EY82" s="27" t="n"/>
      <c r="EZ82" s="27" t="n"/>
      <c r="FA82" s="27" t="n"/>
      <c r="FB82" s="27" t="n"/>
      <c r="FC82" s="27" t="n"/>
      <c r="FD82" s="27" t="n"/>
      <c r="FE82" s="27" t="n"/>
      <c r="FF82" s="27" t="n"/>
      <c r="FG82" s="27" t="n"/>
      <c r="FH82" s="27" t="n"/>
      <c r="FI82" s="27" t="n"/>
      <c r="FJ82" s="27" t="n"/>
      <c r="FK82" s="27" t="n"/>
      <c r="FL82" s="27" t="n"/>
      <c r="FM82" s="27" t="n"/>
      <c r="FN82" s="27" t="n"/>
      <c r="FO82" s="27" t="n"/>
      <c r="FP82" s="27" t="n"/>
      <c r="FQ82" s="27" t="n"/>
      <c r="FR82" s="27" t="n"/>
      <c r="FS82" s="27" t="n"/>
      <c r="FT82" s="27" t="n"/>
      <c r="FU82" s="27" t="n"/>
      <c r="FV82" s="27" t="n"/>
      <c r="FW82" s="27" t="n"/>
      <c r="FX82" s="27" t="n"/>
      <c r="FY82" s="27" t="n"/>
      <c r="FZ82" s="27" t="n"/>
      <c r="GA82" s="27" t="n"/>
      <c r="GB82" s="27" t="n"/>
      <c r="GC82" s="27" t="n"/>
      <c r="GD82" s="27" t="n"/>
      <c r="GE82" s="27" t="n"/>
      <c r="GF82" s="27" t="n"/>
      <c r="GG82" s="27" t="n"/>
      <c r="GH82" s="27" t="n"/>
      <c r="GI82" s="27" t="n"/>
      <c r="GJ82" s="27" t="n"/>
      <c r="GK82" s="27" t="n"/>
      <c r="GL82" s="27" t="n"/>
      <c r="GM82" s="27" t="n"/>
      <c r="GN82" s="27" t="n"/>
      <c r="GO82" s="27" t="n"/>
      <c r="GP82" s="27" t="n"/>
      <c r="GQ82" s="27" t="n"/>
      <c r="GR82" s="27" t="n"/>
      <c r="GS82" s="27" t="n"/>
      <c r="GT82" s="27" t="n"/>
      <c r="GU82" s="27" t="n"/>
      <c r="GV82" s="27" t="n"/>
      <c r="GW82" s="27" t="n"/>
      <c r="GX82" s="27" t="n"/>
      <c r="GY82" s="27" t="n"/>
      <c r="GZ82" s="27" t="n"/>
      <c r="HA82" s="27" t="n"/>
      <c r="HB82" s="27" t="n"/>
      <c r="HC82" s="27" t="n"/>
      <c r="HD82" s="27" t="n"/>
      <c r="HE82" s="27" t="n"/>
      <c r="HF82" s="27" t="n"/>
      <c r="HG82" s="27" t="n"/>
      <c r="HH82" s="27" t="n"/>
      <c r="HI82" s="27" t="n"/>
      <c r="HJ82" s="27" t="n"/>
      <c r="HK82" s="27" t="n"/>
      <c r="HL82" s="27" t="n"/>
      <c r="HM82" s="27" t="n"/>
      <c r="HN82" s="27" t="n"/>
      <c r="HO82" s="27" t="n"/>
      <c r="HP82" s="27" t="n"/>
      <c r="HQ82" s="27" t="n"/>
      <c r="HR82" s="27" t="n"/>
      <c r="HS82" s="27" t="n"/>
      <c r="HT82" s="27" t="n"/>
      <c r="HU82" s="27" t="n"/>
      <c r="HV82" s="27" t="n"/>
      <c r="HW82" s="27" t="n"/>
      <c r="HX82" s="27" t="n"/>
      <c r="HY82" s="27" t="n"/>
      <c r="HZ82" s="27" t="n"/>
      <c r="IA82" s="27" t="n"/>
      <c r="IB82" s="27" t="n"/>
      <c r="IC82" s="27" t="n"/>
      <c r="ID82" s="27" t="n"/>
      <c r="IE82" s="27" t="n"/>
      <c r="IF82" s="27" t="n"/>
      <c r="IG82" s="27" t="n"/>
      <c r="IH82" s="27" t="n"/>
      <c r="II82" s="27" t="n"/>
      <c r="IJ82" s="27" t="n"/>
      <c r="IK82" s="27" t="n"/>
      <c r="IL82" s="27" t="n"/>
      <c r="IM82" s="27" t="n"/>
      <c r="IN82" s="27" t="n"/>
      <c r="IO82" s="27" t="n"/>
      <c r="IP82" s="27" t="n"/>
      <c r="IQ82" s="27" t="n"/>
      <c r="IR82" s="27" t="n"/>
      <c r="IS82" s="27" t="n"/>
      <c r="IT82" s="27" t="n"/>
      <c r="IU82" s="27" t="n"/>
      <c r="IV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  <c r="AA83" s="27" t="n"/>
      <c r="AB83" s="27" t="n"/>
      <c r="AC83" s="27" t="n"/>
      <c r="AD83" s="27" t="n"/>
      <c r="AE83" s="27" t="n"/>
      <c r="AF83" s="27" t="n"/>
      <c r="AG83" s="27" t="n"/>
      <c r="AH83" s="27" t="n"/>
      <c r="AI83" s="27" t="n"/>
      <c r="AJ83" s="27" t="n"/>
      <c r="AK83" s="27" t="n"/>
      <c r="AL83" s="27" t="n"/>
      <c r="AM83" s="27" t="n"/>
      <c r="AN83" s="27" t="n"/>
      <c r="AO83" s="27" t="n"/>
      <c r="AP83" s="27" t="n"/>
      <c r="AQ83" s="27" t="n"/>
      <c r="AR83" s="27" t="n"/>
      <c r="AS83" s="27" t="n"/>
      <c r="AT83" s="27" t="n"/>
      <c r="AU83" s="27" t="n"/>
      <c r="AV83" s="27" t="n"/>
      <c r="AW83" s="27" t="n"/>
      <c r="AX83" s="27" t="n"/>
      <c r="AY83" s="27" t="n"/>
      <c r="AZ83" s="27" t="n"/>
      <c r="BA83" s="27" t="n"/>
      <c r="BB83" s="27" t="n"/>
      <c r="BC83" s="27" t="n"/>
      <c r="BD83" s="27" t="n"/>
      <c r="BE83" s="27" t="n"/>
      <c r="BF83" s="27" t="n"/>
      <c r="BG83" s="27" t="n"/>
      <c r="BH83" s="27" t="n"/>
      <c r="BI83" s="27" t="n"/>
      <c r="BJ83" s="27" t="n"/>
      <c r="BK83" s="27" t="n"/>
      <c r="BL83" s="27" t="n"/>
      <c r="BM83" s="27" t="n"/>
      <c r="BN83" s="27" t="n"/>
      <c r="BO83" s="27" t="n"/>
      <c r="BP83" s="27" t="n"/>
      <c r="BQ83" s="27" t="n"/>
      <c r="BR83" s="27" t="n"/>
      <c r="BS83" s="27" t="n"/>
      <c r="BT83" s="27" t="n"/>
      <c r="BU83" s="27" t="n"/>
      <c r="BV83" s="27" t="n"/>
      <c r="BW83" s="27" t="n"/>
      <c r="BX83" s="27" t="n"/>
      <c r="BY83" s="27" t="n"/>
      <c r="BZ83" s="27" t="n"/>
      <c r="CA83" s="27" t="n"/>
      <c r="CB83" s="27" t="n"/>
      <c r="CC83" s="27" t="n"/>
      <c r="CD83" s="27" t="n"/>
      <c r="CE83" s="27" t="n"/>
      <c r="CF83" s="27" t="n"/>
      <c r="CG83" s="27" t="n"/>
      <c r="CH83" s="27" t="n"/>
      <c r="CI83" s="27" t="n"/>
      <c r="CJ83" s="27" t="n"/>
      <c r="CK83" s="27" t="n"/>
      <c r="CL83" s="27" t="n"/>
      <c r="CM83" s="27" t="n"/>
      <c r="CN83" s="27" t="n"/>
      <c r="CO83" s="27" t="n"/>
      <c r="CP83" s="27" t="n"/>
      <c r="CQ83" s="27" t="n"/>
      <c r="CR83" s="27" t="n"/>
      <c r="CS83" s="27" t="n"/>
      <c r="CT83" s="27" t="n"/>
      <c r="CU83" s="27" t="n"/>
      <c r="CV83" s="27" t="n"/>
      <c r="CW83" s="27" t="n"/>
      <c r="CX83" s="27" t="n"/>
      <c r="CY83" s="27" t="n"/>
      <c r="CZ83" s="27" t="n"/>
      <c r="DA83" s="27" t="n"/>
      <c r="DB83" s="27" t="n"/>
      <c r="DC83" s="27" t="n"/>
      <c r="DD83" s="27" t="n"/>
      <c r="DE83" s="27" t="n"/>
      <c r="DF83" s="27" t="n"/>
      <c r="DG83" s="27" t="n"/>
      <c r="DH83" s="27" t="n"/>
      <c r="DI83" s="27" t="n"/>
      <c r="DJ83" s="27" t="n"/>
      <c r="DK83" s="27" t="n"/>
      <c r="DL83" s="27" t="n"/>
      <c r="DM83" s="27" t="n"/>
      <c r="DN83" s="27" t="n"/>
      <c r="DO83" s="27" t="n"/>
      <c r="DP83" s="27" t="n"/>
      <c r="DQ83" s="27" t="n"/>
      <c r="DR83" s="27" t="n"/>
      <c r="DS83" s="27" t="n"/>
      <c r="DT83" s="27" t="n"/>
      <c r="DU83" s="27" t="n"/>
      <c r="DV83" s="27" t="n"/>
      <c r="DW83" s="27" t="n"/>
      <c r="DX83" s="27" t="n"/>
      <c r="DY83" s="27" t="n"/>
      <c r="DZ83" s="27" t="n"/>
      <c r="EA83" s="27" t="n"/>
      <c r="EB83" s="27" t="n"/>
      <c r="EC83" s="27" t="n"/>
      <c r="ED83" s="27" t="n"/>
      <c r="EE83" s="27" t="n"/>
      <c r="EF83" s="27" t="n"/>
      <c r="EG83" s="27" t="n"/>
      <c r="EH83" s="27" t="n"/>
      <c r="EI83" s="27" t="n"/>
      <c r="EJ83" s="27" t="n"/>
      <c r="EK83" s="27" t="n"/>
      <c r="EL83" s="27" t="n"/>
      <c r="EM83" s="27" t="n"/>
      <c r="EN83" s="27" t="n"/>
      <c r="EO83" s="27" t="n"/>
      <c r="EP83" s="27" t="n"/>
      <c r="EQ83" s="27" t="n"/>
      <c r="ER83" s="27" t="n"/>
      <c r="ES83" s="27" t="n"/>
      <c r="ET83" s="27" t="n"/>
      <c r="EU83" s="27" t="n"/>
      <c r="EV83" s="27" t="n"/>
      <c r="EW83" s="27" t="n"/>
      <c r="EX83" s="27" t="n"/>
      <c r="EY83" s="27" t="n"/>
      <c r="EZ83" s="27" t="n"/>
      <c r="FA83" s="27" t="n"/>
      <c r="FB83" s="27" t="n"/>
      <c r="FC83" s="27" t="n"/>
      <c r="FD83" s="27" t="n"/>
      <c r="FE83" s="27" t="n"/>
      <c r="FF83" s="27" t="n"/>
      <c r="FG83" s="27" t="n"/>
      <c r="FH83" s="27" t="n"/>
      <c r="FI83" s="27" t="n"/>
      <c r="FJ83" s="27" t="n"/>
      <c r="FK83" s="27" t="n"/>
      <c r="FL83" s="27" t="n"/>
      <c r="FM83" s="27" t="n"/>
      <c r="FN83" s="27" t="n"/>
      <c r="FO83" s="27" t="n"/>
      <c r="FP83" s="27" t="n"/>
      <c r="FQ83" s="27" t="n"/>
      <c r="FR83" s="27" t="n"/>
      <c r="FS83" s="27" t="n"/>
      <c r="FT83" s="27" t="n"/>
      <c r="FU83" s="27" t="n"/>
      <c r="FV83" s="27" t="n"/>
      <c r="FW83" s="27" t="n"/>
      <c r="FX83" s="27" t="n"/>
      <c r="FY83" s="27" t="n"/>
      <c r="FZ83" s="27" t="n"/>
      <c r="GA83" s="27" t="n"/>
      <c r="GB83" s="27" t="n"/>
      <c r="GC83" s="27" t="n"/>
      <c r="GD83" s="27" t="n"/>
      <c r="GE83" s="27" t="n"/>
      <c r="GF83" s="27" t="n"/>
      <c r="GG83" s="27" t="n"/>
      <c r="GH83" s="27" t="n"/>
      <c r="GI83" s="27" t="n"/>
      <c r="GJ83" s="27" t="n"/>
      <c r="GK83" s="27" t="n"/>
      <c r="GL83" s="27" t="n"/>
      <c r="GM83" s="27" t="n"/>
      <c r="GN83" s="27" t="n"/>
      <c r="GO83" s="27" t="n"/>
      <c r="GP83" s="27" t="n"/>
      <c r="GQ83" s="27" t="n"/>
      <c r="GR83" s="27" t="n"/>
      <c r="GS83" s="27" t="n"/>
      <c r="GT83" s="27" t="n"/>
      <c r="GU83" s="27" t="n"/>
      <c r="GV83" s="27" t="n"/>
      <c r="GW83" s="27" t="n"/>
      <c r="GX83" s="27" t="n"/>
      <c r="GY83" s="27" t="n"/>
      <c r="GZ83" s="27" t="n"/>
      <c r="HA83" s="27" t="n"/>
      <c r="HB83" s="27" t="n"/>
      <c r="HC83" s="27" t="n"/>
      <c r="HD83" s="27" t="n"/>
      <c r="HE83" s="27" t="n"/>
      <c r="HF83" s="27" t="n"/>
      <c r="HG83" s="27" t="n"/>
      <c r="HH83" s="27" t="n"/>
      <c r="HI83" s="27" t="n"/>
      <c r="HJ83" s="27" t="n"/>
      <c r="HK83" s="27" t="n"/>
      <c r="HL83" s="27" t="n"/>
      <c r="HM83" s="27" t="n"/>
      <c r="HN83" s="27" t="n"/>
      <c r="HO83" s="27" t="n"/>
      <c r="HP83" s="27" t="n"/>
      <c r="HQ83" s="27" t="n"/>
      <c r="HR83" s="27" t="n"/>
      <c r="HS83" s="27" t="n"/>
      <c r="HT83" s="27" t="n"/>
      <c r="HU83" s="27" t="n"/>
      <c r="HV83" s="27" t="n"/>
      <c r="HW83" s="27" t="n"/>
      <c r="HX83" s="27" t="n"/>
      <c r="HY83" s="27" t="n"/>
      <c r="HZ83" s="27" t="n"/>
      <c r="IA83" s="27" t="n"/>
      <c r="IB83" s="27" t="n"/>
      <c r="IC83" s="27" t="n"/>
      <c r="ID83" s="27" t="n"/>
      <c r="IE83" s="27" t="n"/>
      <c r="IF83" s="27" t="n"/>
      <c r="IG83" s="27" t="n"/>
      <c r="IH83" s="27" t="n"/>
      <c r="II83" s="27" t="n"/>
      <c r="IJ83" s="27" t="n"/>
      <c r="IK83" s="27" t="n"/>
      <c r="IL83" s="27" t="n"/>
      <c r="IM83" s="27" t="n"/>
      <c r="IN83" s="27" t="n"/>
      <c r="IO83" s="27" t="n"/>
      <c r="IP83" s="27" t="n"/>
      <c r="IQ83" s="27" t="n"/>
      <c r="IR83" s="27" t="n"/>
      <c r="IS83" s="27" t="n"/>
      <c r="IT83" s="27" t="n"/>
      <c r="IU83" s="27" t="n"/>
      <c r="IV83" s="27" t="n"/>
    </row>
    <row r="84" ht="13" customHeight="1" s="195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  <c r="AA84" s="27" t="n"/>
      <c r="AB84" s="27" t="n"/>
      <c r="AC84" s="27" t="n"/>
      <c r="AD84" s="27" t="n"/>
      <c r="AE84" s="27" t="n"/>
      <c r="AF84" s="27" t="n"/>
      <c r="AG84" s="27" t="n"/>
      <c r="AH84" s="27" t="n"/>
      <c r="AI84" s="27" t="n"/>
      <c r="AJ84" s="27" t="n"/>
      <c r="AK84" s="27" t="n"/>
      <c r="AL84" s="27" t="n"/>
      <c r="AM84" s="27" t="n"/>
      <c r="AN84" s="27" t="n"/>
      <c r="AO84" s="27" t="n"/>
      <c r="AP84" s="27" t="n"/>
      <c r="AQ84" s="27" t="n"/>
      <c r="AR84" s="27" t="n"/>
      <c r="AS84" s="27" t="n"/>
      <c r="AT84" s="27" t="n"/>
      <c r="AU84" s="27" t="n"/>
      <c r="AV84" s="27" t="n"/>
      <c r="AW84" s="27" t="n"/>
      <c r="AX84" s="27" t="n"/>
      <c r="AY84" s="27" t="n"/>
      <c r="AZ84" s="27" t="n"/>
      <c r="BA84" s="27" t="n"/>
      <c r="BB84" s="27" t="n"/>
      <c r="BC84" s="27" t="n"/>
      <c r="BD84" s="27" t="n"/>
      <c r="BE84" s="27" t="n"/>
      <c r="BF84" s="27" t="n"/>
      <c r="BG84" s="27" t="n"/>
      <c r="BH84" s="27" t="n"/>
      <c r="BI84" s="27" t="n"/>
      <c r="BJ84" s="27" t="n"/>
      <c r="BK84" s="27" t="n"/>
      <c r="BL84" s="27" t="n"/>
      <c r="BM84" s="27" t="n"/>
      <c r="BN84" s="27" t="n"/>
      <c r="BO84" s="27" t="n"/>
      <c r="BP84" s="27" t="n"/>
      <c r="BQ84" s="27" t="n"/>
      <c r="BR84" s="27" t="n"/>
      <c r="BS84" s="27" t="n"/>
      <c r="BT84" s="27" t="n"/>
      <c r="BU84" s="27" t="n"/>
      <c r="BV84" s="27" t="n"/>
      <c r="BW84" s="27" t="n"/>
      <c r="BX84" s="27" t="n"/>
      <c r="BY84" s="27" t="n"/>
      <c r="BZ84" s="27" t="n"/>
      <c r="CA84" s="27" t="n"/>
      <c r="CB84" s="27" t="n"/>
      <c r="CC84" s="27" t="n"/>
      <c r="CD84" s="27" t="n"/>
      <c r="CE84" s="27" t="n"/>
      <c r="CF84" s="27" t="n"/>
      <c r="CG84" s="27" t="n"/>
      <c r="CH84" s="27" t="n"/>
      <c r="CI84" s="27" t="n"/>
      <c r="CJ84" s="27" t="n"/>
      <c r="CK84" s="27" t="n"/>
      <c r="CL84" s="27" t="n"/>
      <c r="CM84" s="27" t="n"/>
      <c r="CN84" s="27" t="n"/>
      <c r="CO84" s="27" t="n"/>
      <c r="CP84" s="27" t="n"/>
      <c r="CQ84" s="27" t="n"/>
      <c r="CR84" s="27" t="n"/>
      <c r="CS84" s="27" t="n"/>
      <c r="CT84" s="27" t="n"/>
      <c r="CU84" s="27" t="n"/>
      <c r="CV84" s="27" t="n"/>
      <c r="CW84" s="27" t="n"/>
      <c r="CX84" s="27" t="n"/>
      <c r="CY84" s="27" t="n"/>
      <c r="CZ84" s="27" t="n"/>
      <c r="DA84" s="27" t="n"/>
      <c r="DB84" s="27" t="n"/>
      <c r="DC84" s="27" t="n"/>
      <c r="DD84" s="27" t="n"/>
      <c r="DE84" s="27" t="n"/>
      <c r="DF84" s="27" t="n"/>
      <c r="DG84" s="27" t="n"/>
      <c r="DH84" s="27" t="n"/>
      <c r="DI84" s="27" t="n"/>
      <c r="DJ84" s="27" t="n"/>
      <c r="DK84" s="27" t="n"/>
      <c r="DL84" s="27" t="n"/>
      <c r="DM84" s="27" t="n"/>
      <c r="DN84" s="27" t="n"/>
      <c r="DO84" s="27" t="n"/>
      <c r="DP84" s="27" t="n"/>
      <c r="DQ84" s="27" t="n"/>
      <c r="DR84" s="27" t="n"/>
      <c r="DS84" s="27" t="n"/>
      <c r="DT84" s="27" t="n"/>
      <c r="DU84" s="27" t="n"/>
      <c r="DV84" s="27" t="n"/>
      <c r="DW84" s="27" t="n"/>
      <c r="DX84" s="27" t="n"/>
      <c r="DY84" s="27" t="n"/>
      <c r="DZ84" s="27" t="n"/>
      <c r="EA84" s="27" t="n"/>
      <c r="EB84" s="27" t="n"/>
      <c r="EC84" s="27" t="n"/>
      <c r="ED84" s="27" t="n"/>
      <c r="EE84" s="27" t="n"/>
      <c r="EF84" s="27" t="n"/>
      <c r="EG84" s="27" t="n"/>
      <c r="EH84" s="27" t="n"/>
      <c r="EI84" s="27" t="n"/>
      <c r="EJ84" s="27" t="n"/>
      <c r="EK84" s="27" t="n"/>
      <c r="EL84" s="27" t="n"/>
      <c r="EM84" s="27" t="n"/>
      <c r="EN84" s="27" t="n"/>
      <c r="EO84" s="27" t="n"/>
      <c r="EP84" s="27" t="n"/>
      <c r="EQ84" s="27" t="n"/>
      <c r="ER84" s="27" t="n"/>
      <c r="ES84" s="27" t="n"/>
      <c r="ET84" s="27" t="n"/>
      <c r="EU84" s="27" t="n"/>
      <c r="EV84" s="27" t="n"/>
      <c r="EW84" s="27" t="n"/>
      <c r="EX84" s="27" t="n"/>
      <c r="EY84" s="27" t="n"/>
      <c r="EZ84" s="27" t="n"/>
      <c r="FA84" s="27" t="n"/>
      <c r="FB84" s="27" t="n"/>
      <c r="FC84" s="27" t="n"/>
      <c r="FD84" s="27" t="n"/>
      <c r="FE84" s="27" t="n"/>
      <c r="FF84" s="27" t="n"/>
      <c r="FG84" s="27" t="n"/>
      <c r="FH84" s="27" t="n"/>
      <c r="FI84" s="27" t="n"/>
      <c r="FJ84" s="27" t="n"/>
      <c r="FK84" s="27" t="n"/>
      <c r="FL84" s="27" t="n"/>
      <c r="FM84" s="27" t="n"/>
      <c r="FN84" s="27" t="n"/>
      <c r="FO84" s="27" t="n"/>
      <c r="FP84" s="27" t="n"/>
      <c r="FQ84" s="27" t="n"/>
      <c r="FR84" s="27" t="n"/>
      <c r="FS84" s="27" t="n"/>
      <c r="FT84" s="27" t="n"/>
      <c r="FU84" s="27" t="n"/>
      <c r="FV84" s="27" t="n"/>
      <c r="FW84" s="27" t="n"/>
      <c r="FX84" s="27" t="n"/>
      <c r="FY84" s="27" t="n"/>
      <c r="FZ84" s="27" t="n"/>
      <c r="GA84" s="27" t="n"/>
      <c r="GB84" s="27" t="n"/>
      <c r="GC84" s="27" t="n"/>
      <c r="GD84" s="27" t="n"/>
      <c r="GE84" s="27" t="n"/>
      <c r="GF84" s="27" t="n"/>
      <c r="GG84" s="27" t="n"/>
      <c r="GH84" s="27" t="n"/>
      <c r="GI84" s="27" t="n"/>
      <c r="GJ84" s="27" t="n"/>
      <c r="GK84" s="27" t="n"/>
      <c r="GL84" s="27" t="n"/>
      <c r="GM84" s="27" t="n"/>
      <c r="GN84" s="27" t="n"/>
      <c r="GO84" s="27" t="n"/>
      <c r="GP84" s="27" t="n"/>
      <c r="GQ84" s="27" t="n"/>
      <c r="GR84" s="27" t="n"/>
      <c r="GS84" s="27" t="n"/>
      <c r="GT84" s="27" t="n"/>
      <c r="GU84" s="27" t="n"/>
      <c r="GV84" s="27" t="n"/>
      <c r="GW84" s="27" t="n"/>
      <c r="GX84" s="27" t="n"/>
      <c r="GY84" s="27" t="n"/>
      <c r="GZ84" s="27" t="n"/>
      <c r="HA84" s="27" t="n"/>
      <c r="HB84" s="27" t="n"/>
      <c r="HC84" s="27" t="n"/>
      <c r="HD84" s="27" t="n"/>
      <c r="HE84" s="27" t="n"/>
      <c r="HF84" s="27" t="n"/>
      <c r="HG84" s="27" t="n"/>
      <c r="HH84" s="27" t="n"/>
      <c r="HI84" s="27" t="n"/>
      <c r="HJ84" s="27" t="n"/>
      <c r="HK84" s="27" t="n"/>
      <c r="HL84" s="27" t="n"/>
      <c r="HM84" s="27" t="n"/>
      <c r="HN84" s="27" t="n"/>
      <c r="HO84" s="27" t="n"/>
      <c r="HP84" s="27" t="n"/>
      <c r="HQ84" s="27" t="n"/>
      <c r="HR84" s="27" t="n"/>
      <c r="HS84" s="27" t="n"/>
      <c r="HT84" s="27" t="n"/>
      <c r="HU84" s="27" t="n"/>
      <c r="HV84" s="27" t="n"/>
      <c r="HW84" s="27" t="n"/>
      <c r="HX84" s="27" t="n"/>
      <c r="HY84" s="27" t="n"/>
      <c r="HZ84" s="27" t="n"/>
      <c r="IA84" s="27" t="n"/>
      <c r="IB84" s="27" t="n"/>
      <c r="IC84" s="27" t="n"/>
      <c r="ID84" s="27" t="n"/>
      <c r="IE84" s="27" t="n"/>
      <c r="IF84" s="27" t="n"/>
      <c r="IG84" s="27" t="n"/>
      <c r="IH84" s="27" t="n"/>
      <c r="II84" s="27" t="n"/>
      <c r="IJ84" s="27" t="n"/>
      <c r="IK84" s="27" t="n"/>
      <c r="IL84" s="27" t="n"/>
      <c r="IM84" s="27" t="n"/>
      <c r="IN84" s="27" t="n"/>
      <c r="IO84" s="27" t="n"/>
      <c r="IP84" s="27" t="n"/>
      <c r="IQ84" s="27" t="n"/>
      <c r="IR84" s="27" t="n"/>
      <c r="IS84" s="27" t="n"/>
      <c r="IT84" s="27" t="n"/>
      <c r="IU84" s="27" t="n"/>
      <c r="IV84" s="27" t="n"/>
    </row>
    <row r="85" ht="13" customHeight="1" s="195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  <c r="AA85" s="27" t="n"/>
      <c r="AB85" s="27" t="n"/>
      <c r="AC85" s="27" t="n"/>
      <c r="AD85" s="27" t="n"/>
      <c r="AE85" s="27" t="n"/>
      <c r="AF85" s="27" t="n"/>
      <c r="AG85" s="27" t="n"/>
      <c r="AH85" s="27" t="n"/>
      <c r="AI85" s="27" t="n"/>
      <c r="AJ85" s="27" t="n"/>
      <c r="AK85" s="27" t="n"/>
      <c r="AL85" s="27" t="n"/>
      <c r="AM85" s="27" t="n"/>
      <c r="AN85" s="27" t="n"/>
      <c r="AO85" s="27" t="n"/>
      <c r="AP85" s="27" t="n"/>
      <c r="AQ85" s="27" t="n"/>
      <c r="AR85" s="27" t="n"/>
      <c r="AS85" s="27" t="n"/>
      <c r="AT85" s="27" t="n"/>
      <c r="AU85" s="27" t="n"/>
      <c r="AV85" s="27" t="n"/>
      <c r="AW85" s="27" t="n"/>
      <c r="AX85" s="27" t="n"/>
      <c r="AY85" s="27" t="n"/>
      <c r="AZ85" s="27" t="n"/>
      <c r="BA85" s="27" t="n"/>
      <c r="BB85" s="27" t="n"/>
      <c r="BC85" s="27" t="n"/>
      <c r="BD85" s="27" t="n"/>
      <c r="BE85" s="27" t="n"/>
      <c r="BF85" s="27" t="n"/>
      <c r="BG85" s="27" t="n"/>
      <c r="BH85" s="27" t="n"/>
      <c r="BI85" s="27" t="n"/>
      <c r="BJ85" s="27" t="n"/>
      <c r="BK85" s="27" t="n"/>
      <c r="BL85" s="27" t="n"/>
      <c r="BM85" s="27" t="n"/>
      <c r="BN85" s="27" t="n"/>
      <c r="BO85" s="27" t="n"/>
      <c r="BP85" s="27" t="n"/>
      <c r="BQ85" s="27" t="n"/>
      <c r="BR85" s="27" t="n"/>
      <c r="BS85" s="27" t="n"/>
      <c r="BT85" s="27" t="n"/>
      <c r="BU85" s="27" t="n"/>
      <c r="BV85" s="27" t="n"/>
      <c r="BW85" s="27" t="n"/>
      <c r="BX85" s="27" t="n"/>
      <c r="BY85" s="27" t="n"/>
      <c r="BZ85" s="27" t="n"/>
      <c r="CA85" s="27" t="n"/>
      <c r="CB85" s="27" t="n"/>
      <c r="CC85" s="27" t="n"/>
      <c r="CD85" s="27" t="n"/>
      <c r="CE85" s="27" t="n"/>
      <c r="CF85" s="27" t="n"/>
      <c r="CG85" s="27" t="n"/>
      <c r="CH85" s="27" t="n"/>
      <c r="CI85" s="27" t="n"/>
      <c r="CJ85" s="27" t="n"/>
      <c r="CK85" s="27" t="n"/>
      <c r="CL85" s="27" t="n"/>
      <c r="CM85" s="27" t="n"/>
      <c r="CN85" s="27" t="n"/>
      <c r="CO85" s="27" t="n"/>
      <c r="CP85" s="27" t="n"/>
      <c r="CQ85" s="27" t="n"/>
      <c r="CR85" s="27" t="n"/>
      <c r="CS85" s="27" t="n"/>
      <c r="CT85" s="27" t="n"/>
      <c r="CU85" s="27" t="n"/>
      <c r="CV85" s="27" t="n"/>
      <c r="CW85" s="27" t="n"/>
      <c r="CX85" s="27" t="n"/>
      <c r="CY85" s="27" t="n"/>
      <c r="CZ85" s="27" t="n"/>
      <c r="DA85" s="27" t="n"/>
      <c r="DB85" s="27" t="n"/>
      <c r="DC85" s="27" t="n"/>
      <c r="DD85" s="27" t="n"/>
      <c r="DE85" s="27" t="n"/>
      <c r="DF85" s="27" t="n"/>
      <c r="DG85" s="27" t="n"/>
      <c r="DH85" s="27" t="n"/>
      <c r="DI85" s="27" t="n"/>
      <c r="DJ85" s="27" t="n"/>
      <c r="DK85" s="27" t="n"/>
      <c r="DL85" s="27" t="n"/>
      <c r="DM85" s="27" t="n"/>
      <c r="DN85" s="27" t="n"/>
      <c r="DO85" s="27" t="n"/>
      <c r="DP85" s="27" t="n"/>
      <c r="DQ85" s="27" t="n"/>
      <c r="DR85" s="27" t="n"/>
      <c r="DS85" s="27" t="n"/>
      <c r="DT85" s="27" t="n"/>
      <c r="DU85" s="27" t="n"/>
      <c r="DV85" s="27" t="n"/>
      <c r="DW85" s="27" t="n"/>
      <c r="DX85" s="27" t="n"/>
      <c r="DY85" s="27" t="n"/>
      <c r="DZ85" s="27" t="n"/>
      <c r="EA85" s="27" t="n"/>
      <c r="EB85" s="27" t="n"/>
      <c r="EC85" s="27" t="n"/>
      <c r="ED85" s="27" t="n"/>
      <c r="EE85" s="27" t="n"/>
      <c r="EF85" s="27" t="n"/>
      <c r="EG85" s="27" t="n"/>
      <c r="EH85" s="27" t="n"/>
      <c r="EI85" s="27" t="n"/>
      <c r="EJ85" s="27" t="n"/>
      <c r="EK85" s="27" t="n"/>
      <c r="EL85" s="27" t="n"/>
      <c r="EM85" s="27" t="n"/>
      <c r="EN85" s="27" t="n"/>
      <c r="EO85" s="27" t="n"/>
      <c r="EP85" s="27" t="n"/>
      <c r="EQ85" s="27" t="n"/>
      <c r="ER85" s="27" t="n"/>
      <c r="ES85" s="27" t="n"/>
      <c r="ET85" s="27" t="n"/>
      <c r="EU85" s="27" t="n"/>
      <c r="EV85" s="27" t="n"/>
      <c r="EW85" s="27" t="n"/>
      <c r="EX85" s="27" t="n"/>
      <c r="EY85" s="27" t="n"/>
      <c r="EZ85" s="27" t="n"/>
      <c r="FA85" s="27" t="n"/>
      <c r="FB85" s="27" t="n"/>
      <c r="FC85" s="27" t="n"/>
      <c r="FD85" s="27" t="n"/>
      <c r="FE85" s="27" t="n"/>
      <c r="FF85" s="27" t="n"/>
      <c r="FG85" s="27" t="n"/>
      <c r="FH85" s="27" t="n"/>
      <c r="FI85" s="27" t="n"/>
      <c r="FJ85" s="27" t="n"/>
      <c r="FK85" s="27" t="n"/>
      <c r="FL85" s="27" t="n"/>
      <c r="FM85" s="27" t="n"/>
      <c r="FN85" s="27" t="n"/>
      <c r="FO85" s="27" t="n"/>
      <c r="FP85" s="27" t="n"/>
      <c r="FQ85" s="27" t="n"/>
      <c r="FR85" s="27" t="n"/>
      <c r="FS85" s="27" t="n"/>
      <c r="FT85" s="27" t="n"/>
      <c r="FU85" s="27" t="n"/>
      <c r="FV85" s="27" t="n"/>
      <c r="FW85" s="27" t="n"/>
      <c r="FX85" s="27" t="n"/>
      <c r="FY85" s="27" t="n"/>
      <c r="FZ85" s="27" t="n"/>
      <c r="GA85" s="27" t="n"/>
      <c r="GB85" s="27" t="n"/>
      <c r="GC85" s="27" t="n"/>
      <c r="GD85" s="27" t="n"/>
      <c r="GE85" s="27" t="n"/>
      <c r="GF85" s="27" t="n"/>
      <c r="GG85" s="27" t="n"/>
      <c r="GH85" s="27" t="n"/>
      <c r="GI85" s="27" t="n"/>
      <c r="GJ85" s="27" t="n"/>
      <c r="GK85" s="27" t="n"/>
      <c r="GL85" s="27" t="n"/>
      <c r="GM85" s="27" t="n"/>
      <c r="GN85" s="27" t="n"/>
      <c r="GO85" s="27" t="n"/>
      <c r="GP85" s="27" t="n"/>
      <c r="GQ85" s="27" t="n"/>
      <c r="GR85" s="27" t="n"/>
      <c r="GS85" s="27" t="n"/>
      <c r="GT85" s="27" t="n"/>
      <c r="GU85" s="27" t="n"/>
      <c r="GV85" s="27" t="n"/>
      <c r="GW85" s="27" t="n"/>
      <c r="GX85" s="27" t="n"/>
      <c r="GY85" s="27" t="n"/>
      <c r="GZ85" s="27" t="n"/>
      <c r="HA85" s="27" t="n"/>
      <c r="HB85" s="27" t="n"/>
      <c r="HC85" s="27" t="n"/>
      <c r="HD85" s="27" t="n"/>
      <c r="HE85" s="27" t="n"/>
      <c r="HF85" s="27" t="n"/>
      <c r="HG85" s="27" t="n"/>
      <c r="HH85" s="27" t="n"/>
      <c r="HI85" s="27" t="n"/>
      <c r="HJ85" s="27" t="n"/>
      <c r="HK85" s="27" t="n"/>
      <c r="HL85" s="27" t="n"/>
      <c r="HM85" s="27" t="n"/>
      <c r="HN85" s="27" t="n"/>
      <c r="HO85" s="27" t="n"/>
      <c r="HP85" s="27" t="n"/>
      <c r="HQ85" s="27" t="n"/>
      <c r="HR85" s="27" t="n"/>
      <c r="HS85" s="27" t="n"/>
      <c r="HT85" s="27" t="n"/>
      <c r="HU85" s="27" t="n"/>
      <c r="HV85" s="27" t="n"/>
      <c r="HW85" s="27" t="n"/>
      <c r="HX85" s="27" t="n"/>
      <c r="HY85" s="27" t="n"/>
      <c r="HZ85" s="27" t="n"/>
      <c r="IA85" s="27" t="n"/>
      <c r="IB85" s="27" t="n"/>
      <c r="IC85" s="27" t="n"/>
      <c r="ID85" s="27" t="n"/>
      <c r="IE85" s="27" t="n"/>
      <c r="IF85" s="27" t="n"/>
      <c r="IG85" s="27" t="n"/>
      <c r="IH85" s="27" t="n"/>
      <c r="II85" s="27" t="n"/>
      <c r="IJ85" s="27" t="n"/>
      <c r="IK85" s="27" t="n"/>
      <c r="IL85" s="27" t="n"/>
      <c r="IM85" s="27" t="n"/>
      <c r="IN85" s="27" t="n"/>
      <c r="IO85" s="27" t="n"/>
      <c r="IP85" s="27" t="n"/>
      <c r="IQ85" s="27" t="n"/>
      <c r="IR85" s="27" t="n"/>
      <c r="IS85" s="27" t="n"/>
      <c r="IT85" s="27" t="n"/>
      <c r="IU85" s="27" t="n"/>
      <c r="IV85" s="27" t="n"/>
    </row>
    <row r="86" ht="13" customHeight="1" s="195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  <c r="AA86" s="27" t="n"/>
      <c r="AB86" s="27" t="n"/>
      <c r="AC86" s="27" t="n"/>
      <c r="AD86" s="27" t="n"/>
      <c r="AE86" s="27" t="n"/>
      <c r="AF86" s="27" t="n"/>
      <c r="AG86" s="27" t="n"/>
      <c r="AH86" s="27" t="n"/>
      <c r="AI86" s="27" t="n"/>
      <c r="AJ86" s="27" t="n"/>
      <c r="AK86" s="27" t="n"/>
      <c r="AL86" s="27" t="n"/>
      <c r="AM86" s="27" t="n"/>
      <c r="AN86" s="27" t="n"/>
      <c r="AO86" s="27" t="n"/>
      <c r="AP86" s="27" t="n"/>
      <c r="AQ86" s="27" t="n"/>
      <c r="AR86" s="27" t="n"/>
      <c r="AS86" s="27" t="n"/>
      <c r="AT86" s="27" t="n"/>
      <c r="AU86" s="27" t="n"/>
      <c r="AV86" s="27" t="n"/>
      <c r="AW86" s="27" t="n"/>
      <c r="AX86" s="27" t="n"/>
      <c r="AY86" s="27" t="n"/>
      <c r="AZ86" s="27" t="n"/>
      <c r="BA86" s="27" t="n"/>
      <c r="BB86" s="27" t="n"/>
      <c r="BC86" s="27" t="n"/>
      <c r="BD86" s="27" t="n"/>
      <c r="BE86" s="27" t="n"/>
      <c r="BF86" s="27" t="n"/>
      <c r="BG86" s="27" t="n"/>
      <c r="BH86" s="27" t="n"/>
      <c r="BI86" s="27" t="n"/>
      <c r="BJ86" s="27" t="n"/>
      <c r="BK86" s="27" t="n"/>
      <c r="BL86" s="27" t="n"/>
      <c r="BM86" s="27" t="n"/>
      <c r="BN86" s="27" t="n"/>
      <c r="BO86" s="27" t="n"/>
      <c r="BP86" s="27" t="n"/>
      <c r="BQ86" s="27" t="n"/>
      <c r="BR86" s="27" t="n"/>
      <c r="BS86" s="27" t="n"/>
      <c r="BT86" s="27" t="n"/>
      <c r="BU86" s="27" t="n"/>
      <c r="BV86" s="27" t="n"/>
      <c r="BW86" s="27" t="n"/>
      <c r="BX86" s="27" t="n"/>
      <c r="BY86" s="27" t="n"/>
      <c r="BZ86" s="27" t="n"/>
      <c r="CA86" s="27" t="n"/>
      <c r="CB86" s="27" t="n"/>
      <c r="CC86" s="27" t="n"/>
      <c r="CD86" s="27" t="n"/>
      <c r="CE86" s="27" t="n"/>
      <c r="CF86" s="27" t="n"/>
      <c r="CG86" s="27" t="n"/>
      <c r="CH86" s="27" t="n"/>
      <c r="CI86" s="27" t="n"/>
      <c r="CJ86" s="27" t="n"/>
      <c r="CK86" s="27" t="n"/>
      <c r="CL86" s="27" t="n"/>
      <c r="CM86" s="27" t="n"/>
      <c r="CN86" s="27" t="n"/>
      <c r="CO86" s="27" t="n"/>
      <c r="CP86" s="27" t="n"/>
      <c r="CQ86" s="27" t="n"/>
      <c r="CR86" s="27" t="n"/>
      <c r="CS86" s="27" t="n"/>
      <c r="CT86" s="27" t="n"/>
      <c r="CU86" s="27" t="n"/>
      <c r="CV86" s="27" t="n"/>
      <c r="CW86" s="27" t="n"/>
      <c r="CX86" s="27" t="n"/>
      <c r="CY86" s="27" t="n"/>
      <c r="CZ86" s="27" t="n"/>
      <c r="DA86" s="27" t="n"/>
      <c r="DB86" s="27" t="n"/>
      <c r="DC86" s="27" t="n"/>
      <c r="DD86" s="27" t="n"/>
      <c r="DE86" s="27" t="n"/>
      <c r="DF86" s="27" t="n"/>
      <c r="DG86" s="27" t="n"/>
      <c r="DH86" s="27" t="n"/>
      <c r="DI86" s="27" t="n"/>
      <c r="DJ86" s="27" t="n"/>
      <c r="DK86" s="27" t="n"/>
      <c r="DL86" s="27" t="n"/>
      <c r="DM86" s="27" t="n"/>
      <c r="DN86" s="27" t="n"/>
      <c r="DO86" s="27" t="n"/>
      <c r="DP86" s="27" t="n"/>
      <c r="DQ86" s="27" t="n"/>
      <c r="DR86" s="27" t="n"/>
      <c r="DS86" s="27" t="n"/>
      <c r="DT86" s="27" t="n"/>
      <c r="DU86" s="27" t="n"/>
      <c r="DV86" s="27" t="n"/>
      <c r="DW86" s="27" t="n"/>
      <c r="DX86" s="27" t="n"/>
      <c r="DY86" s="27" t="n"/>
      <c r="DZ86" s="27" t="n"/>
      <c r="EA86" s="27" t="n"/>
      <c r="EB86" s="27" t="n"/>
      <c r="EC86" s="27" t="n"/>
      <c r="ED86" s="27" t="n"/>
      <c r="EE86" s="27" t="n"/>
      <c r="EF86" s="27" t="n"/>
      <c r="EG86" s="27" t="n"/>
      <c r="EH86" s="27" t="n"/>
      <c r="EI86" s="27" t="n"/>
      <c r="EJ86" s="27" t="n"/>
      <c r="EK86" s="27" t="n"/>
      <c r="EL86" s="27" t="n"/>
      <c r="EM86" s="27" t="n"/>
      <c r="EN86" s="27" t="n"/>
      <c r="EO86" s="27" t="n"/>
      <c r="EP86" s="27" t="n"/>
      <c r="EQ86" s="27" t="n"/>
      <c r="ER86" s="27" t="n"/>
      <c r="ES86" s="27" t="n"/>
      <c r="ET86" s="27" t="n"/>
      <c r="EU86" s="27" t="n"/>
      <c r="EV86" s="27" t="n"/>
      <c r="EW86" s="27" t="n"/>
      <c r="EX86" s="27" t="n"/>
      <c r="EY86" s="27" t="n"/>
      <c r="EZ86" s="27" t="n"/>
      <c r="FA86" s="27" t="n"/>
      <c r="FB86" s="27" t="n"/>
      <c r="FC86" s="27" t="n"/>
      <c r="FD86" s="27" t="n"/>
      <c r="FE86" s="27" t="n"/>
      <c r="FF86" s="27" t="n"/>
      <c r="FG86" s="27" t="n"/>
      <c r="FH86" s="27" t="n"/>
      <c r="FI86" s="27" t="n"/>
      <c r="FJ86" s="27" t="n"/>
      <c r="FK86" s="27" t="n"/>
      <c r="FL86" s="27" t="n"/>
      <c r="FM86" s="27" t="n"/>
      <c r="FN86" s="27" t="n"/>
      <c r="FO86" s="27" t="n"/>
      <c r="FP86" s="27" t="n"/>
      <c r="FQ86" s="27" t="n"/>
      <c r="FR86" s="27" t="n"/>
      <c r="FS86" s="27" t="n"/>
      <c r="FT86" s="27" t="n"/>
      <c r="FU86" s="27" t="n"/>
      <c r="FV86" s="27" t="n"/>
      <c r="FW86" s="27" t="n"/>
      <c r="FX86" s="27" t="n"/>
      <c r="FY86" s="27" t="n"/>
      <c r="FZ86" s="27" t="n"/>
      <c r="GA86" s="27" t="n"/>
      <c r="GB86" s="27" t="n"/>
      <c r="GC86" s="27" t="n"/>
      <c r="GD86" s="27" t="n"/>
      <c r="GE86" s="27" t="n"/>
      <c r="GF86" s="27" t="n"/>
      <c r="GG86" s="27" t="n"/>
      <c r="GH86" s="27" t="n"/>
      <c r="GI86" s="27" t="n"/>
      <c r="GJ86" s="27" t="n"/>
      <c r="GK86" s="27" t="n"/>
      <c r="GL86" s="27" t="n"/>
      <c r="GM86" s="27" t="n"/>
      <c r="GN86" s="27" t="n"/>
      <c r="GO86" s="27" t="n"/>
      <c r="GP86" s="27" t="n"/>
      <c r="GQ86" s="27" t="n"/>
      <c r="GR86" s="27" t="n"/>
      <c r="GS86" s="27" t="n"/>
      <c r="GT86" s="27" t="n"/>
      <c r="GU86" s="27" t="n"/>
      <c r="GV86" s="27" t="n"/>
      <c r="GW86" s="27" t="n"/>
      <c r="GX86" s="27" t="n"/>
      <c r="GY86" s="27" t="n"/>
      <c r="GZ86" s="27" t="n"/>
      <c r="HA86" s="27" t="n"/>
      <c r="HB86" s="27" t="n"/>
      <c r="HC86" s="27" t="n"/>
      <c r="HD86" s="27" t="n"/>
      <c r="HE86" s="27" t="n"/>
      <c r="HF86" s="27" t="n"/>
      <c r="HG86" s="27" t="n"/>
      <c r="HH86" s="27" t="n"/>
      <c r="HI86" s="27" t="n"/>
      <c r="HJ86" s="27" t="n"/>
      <c r="HK86" s="27" t="n"/>
      <c r="HL86" s="27" t="n"/>
      <c r="HM86" s="27" t="n"/>
      <c r="HN86" s="27" t="n"/>
      <c r="HO86" s="27" t="n"/>
      <c r="HP86" s="27" t="n"/>
      <c r="HQ86" s="27" t="n"/>
      <c r="HR86" s="27" t="n"/>
      <c r="HS86" s="27" t="n"/>
      <c r="HT86" s="27" t="n"/>
      <c r="HU86" s="27" t="n"/>
      <c r="HV86" s="27" t="n"/>
      <c r="HW86" s="27" t="n"/>
      <c r="HX86" s="27" t="n"/>
      <c r="HY86" s="27" t="n"/>
      <c r="HZ86" s="27" t="n"/>
      <c r="IA86" s="27" t="n"/>
      <c r="IB86" s="27" t="n"/>
      <c r="IC86" s="27" t="n"/>
      <c r="ID86" s="27" t="n"/>
      <c r="IE86" s="27" t="n"/>
      <c r="IF86" s="27" t="n"/>
      <c r="IG86" s="27" t="n"/>
      <c r="IH86" s="27" t="n"/>
      <c r="II86" s="27" t="n"/>
      <c r="IJ86" s="27" t="n"/>
      <c r="IK86" s="27" t="n"/>
      <c r="IL86" s="27" t="n"/>
      <c r="IM86" s="27" t="n"/>
      <c r="IN86" s="27" t="n"/>
      <c r="IO86" s="27" t="n"/>
      <c r="IP86" s="27" t="n"/>
      <c r="IQ86" s="27" t="n"/>
      <c r="IR86" s="27" t="n"/>
      <c r="IS86" s="27" t="n"/>
      <c r="IT86" s="27" t="n"/>
      <c r="IU86" s="27" t="n"/>
      <c r="IV86" s="27" t="n"/>
    </row>
    <row r="87" ht="13" customHeight="1" s="195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  <c r="AA87" s="27" t="n"/>
      <c r="AB87" s="27" t="n"/>
      <c r="AC87" s="27" t="n"/>
      <c r="AD87" s="27" t="n"/>
      <c r="AE87" s="27" t="n"/>
      <c r="AF87" s="27" t="n"/>
      <c r="AG87" s="27" t="n"/>
      <c r="AH87" s="27" t="n"/>
      <c r="AI87" s="27" t="n"/>
      <c r="AJ87" s="27" t="n"/>
      <c r="AK87" s="27" t="n"/>
      <c r="AL87" s="27" t="n"/>
      <c r="AM87" s="27" t="n"/>
      <c r="AN87" s="27" t="n"/>
      <c r="AO87" s="27" t="n"/>
      <c r="AP87" s="27" t="n"/>
      <c r="AQ87" s="27" t="n"/>
      <c r="AR87" s="27" t="n"/>
      <c r="AS87" s="27" t="n"/>
      <c r="AT87" s="27" t="n"/>
      <c r="AU87" s="27" t="n"/>
      <c r="AV87" s="27" t="n"/>
      <c r="AW87" s="27" t="n"/>
      <c r="AX87" s="27" t="n"/>
      <c r="AY87" s="27" t="n"/>
      <c r="AZ87" s="27" t="n"/>
      <c r="BA87" s="27" t="n"/>
      <c r="BB87" s="27" t="n"/>
      <c r="BC87" s="27" t="n"/>
      <c r="BD87" s="27" t="n"/>
      <c r="BE87" s="27" t="n"/>
      <c r="BF87" s="27" t="n"/>
      <c r="BG87" s="27" t="n"/>
      <c r="BH87" s="27" t="n"/>
      <c r="BI87" s="27" t="n"/>
      <c r="BJ87" s="27" t="n"/>
      <c r="BK87" s="27" t="n"/>
      <c r="BL87" s="27" t="n"/>
      <c r="BM87" s="27" t="n"/>
      <c r="BN87" s="27" t="n"/>
      <c r="BO87" s="27" t="n"/>
      <c r="BP87" s="27" t="n"/>
      <c r="BQ87" s="27" t="n"/>
      <c r="BR87" s="27" t="n"/>
      <c r="BS87" s="27" t="n"/>
      <c r="BT87" s="27" t="n"/>
      <c r="BU87" s="27" t="n"/>
      <c r="BV87" s="27" t="n"/>
      <c r="BW87" s="27" t="n"/>
      <c r="BX87" s="27" t="n"/>
      <c r="BY87" s="27" t="n"/>
      <c r="BZ87" s="27" t="n"/>
      <c r="CA87" s="27" t="n"/>
      <c r="CB87" s="27" t="n"/>
      <c r="CC87" s="27" t="n"/>
      <c r="CD87" s="27" t="n"/>
      <c r="CE87" s="27" t="n"/>
      <c r="CF87" s="27" t="n"/>
      <c r="CG87" s="27" t="n"/>
      <c r="CH87" s="27" t="n"/>
      <c r="CI87" s="27" t="n"/>
      <c r="CJ87" s="27" t="n"/>
      <c r="CK87" s="27" t="n"/>
      <c r="CL87" s="27" t="n"/>
      <c r="CM87" s="27" t="n"/>
      <c r="CN87" s="27" t="n"/>
      <c r="CO87" s="27" t="n"/>
      <c r="CP87" s="27" t="n"/>
      <c r="CQ87" s="27" t="n"/>
      <c r="CR87" s="27" t="n"/>
      <c r="CS87" s="27" t="n"/>
      <c r="CT87" s="27" t="n"/>
      <c r="CU87" s="27" t="n"/>
      <c r="CV87" s="27" t="n"/>
      <c r="CW87" s="27" t="n"/>
      <c r="CX87" s="27" t="n"/>
      <c r="CY87" s="27" t="n"/>
      <c r="CZ87" s="27" t="n"/>
      <c r="DA87" s="27" t="n"/>
      <c r="DB87" s="27" t="n"/>
      <c r="DC87" s="27" t="n"/>
      <c r="DD87" s="27" t="n"/>
      <c r="DE87" s="27" t="n"/>
      <c r="DF87" s="27" t="n"/>
      <c r="DG87" s="27" t="n"/>
      <c r="DH87" s="27" t="n"/>
      <c r="DI87" s="27" t="n"/>
      <c r="DJ87" s="27" t="n"/>
      <c r="DK87" s="27" t="n"/>
      <c r="DL87" s="27" t="n"/>
      <c r="DM87" s="27" t="n"/>
      <c r="DN87" s="27" t="n"/>
      <c r="DO87" s="27" t="n"/>
      <c r="DP87" s="27" t="n"/>
      <c r="DQ87" s="27" t="n"/>
      <c r="DR87" s="27" t="n"/>
      <c r="DS87" s="27" t="n"/>
      <c r="DT87" s="27" t="n"/>
      <c r="DU87" s="27" t="n"/>
      <c r="DV87" s="27" t="n"/>
      <c r="DW87" s="27" t="n"/>
      <c r="DX87" s="27" t="n"/>
      <c r="DY87" s="27" t="n"/>
      <c r="DZ87" s="27" t="n"/>
      <c r="EA87" s="27" t="n"/>
      <c r="EB87" s="27" t="n"/>
      <c r="EC87" s="27" t="n"/>
      <c r="ED87" s="27" t="n"/>
      <c r="EE87" s="27" t="n"/>
      <c r="EF87" s="27" t="n"/>
      <c r="EG87" s="27" t="n"/>
      <c r="EH87" s="27" t="n"/>
      <c r="EI87" s="27" t="n"/>
      <c r="EJ87" s="27" t="n"/>
      <c r="EK87" s="27" t="n"/>
      <c r="EL87" s="27" t="n"/>
      <c r="EM87" s="27" t="n"/>
      <c r="EN87" s="27" t="n"/>
      <c r="EO87" s="27" t="n"/>
      <c r="EP87" s="27" t="n"/>
      <c r="EQ87" s="27" t="n"/>
      <c r="ER87" s="27" t="n"/>
      <c r="ES87" s="27" t="n"/>
      <c r="ET87" s="27" t="n"/>
      <c r="EU87" s="27" t="n"/>
      <c r="EV87" s="27" t="n"/>
      <c r="EW87" s="27" t="n"/>
      <c r="EX87" s="27" t="n"/>
      <c r="EY87" s="27" t="n"/>
      <c r="EZ87" s="27" t="n"/>
      <c r="FA87" s="27" t="n"/>
      <c r="FB87" s="27" t="n"/>
      <c r="FC87" s="27" t="n"/>
      <c r="FD87" s="27" t="n"/>
      <c r="FE87" s="27" t="n"/>
      <c r="FF87" s="27" t="n"/>
      <c r="FG87" s="27" t="n"/>
      <c r="FH87" s="27" t="n"/>
      <c r="FI87" s="27" t="n"/>
      <c r="FJ87" s="27" t="n"/>
      <c r="FK87" s="27" t="n"/>
      <c r="FL87" s="27" t="n"/>
      <c r="FM87" s="27" t="n"/>
      <c r="FN87" s="27" t="n"/>
      <c r="FO87" s="27" t="n"/>
      <c r="FP87" s="27" t="n"/>
      <c r="FQ87" s="27" t="n"/>
      <c r="FR87" s="27" t="n"/>
      <c r="FS87" s="27" t="n"/>
      <c r="FT87" s="27" t="n"/>
      <c r="FU87" s="27" t="n"/>
      <c r="FV87" s="27" t="n"/>
      <c r="FW87" s="27" t="n"/>
      <c r="FX87" s="27" t="n"/>
      <c r="FY87" s="27" t="n"/>
      <c r="FZ87" s="27" t="n"/>
      <c r="GA87" s="27" t="n"/>
      <c r="GB87" s="27" t="n"/>
      <c r="GC87" s="27" t="n"/>
      <c r="GD87" s="27" t="n"/>
      <c r="GE87" s="27" t="n"/>
      <c r="GF87" s="27" t="n"/>
      <c r="GG87" s="27" t="n"/>
      <c r="GH87" s="27" t="n"/>
      <c r="GI87" s="27" t="n"/>
      <c r="GJ87" s="27" t="n"/>
      <c r="GK87" s="27" t="n"/>
      <c r="GL87" s="27" t="n"/>
      <c r="GM87" s="27" t="n"/>
      <c r="GN87" s="27" t="n"/>
      <c r="GO87" s="27" t="n"/>
      <c r="GP87" s="27" t="n"/>
      <c r="GQ87" s="27" t="n"/>
      <c r="GR87" s="27" t="n"/>
      <c r="GS87" s="27" t="n"/>
      <c r="GT87" s="27" t="n"/>
      <c r="GU87" s="27" t="n"/>
      <c r="GV87" s="27" t="n"/>
      <c r="GW87" s="27" t="n"/>
      <c r="GX87" s="27" t="n"/>
      <c r="GY87" s="27" t="n"/>
      <c r="GZ87" s="27" t="n"/>
      <c r="HA87" s="27" t="n"/>
      <c r="HB87" s="27" t="n"/>
      <c r="HC87" s="27" t="n"/>
      <c r="HD87" s="27" t="n"/>
      <c r="HE87" s="27" t="n"/>
      <c r="HF87" s="27" t="n"/>
      <c r="HG87" s="27" t="n"/>
      <c r="HH87" s="27" t="n"/>
      <c r="HI87" s="27" t="n"/>
      <c r="HJ87" s="27" t="n"/>
      <c r="HK87" s="27" t="n"/>
      <c r="HL87" s="27" t="n"/>
      <c r="HM87" s="27" t="n"/>
      <c r="HN87" s="27" t="n"/>
      <c r="HO87" s="27" t="n"/>
      <c r="HP87" s="27" t="n"/>
      <c r="HQ87" s="27" t="n"/>
      <c r="HR87" s="27" t="n"/>
      <c r="HS87" s="27" t="n"/>
      <c r="HT87" s="27" t="n"/>
      <c r="HU87" s="27" t="n"/>
      <c r="HV87" s="27" t="n"/>
      <c r="HW87" s="27" t="n"/>
      <c r="HX87" s="27" t="n"/>
      <c r="HY87" s="27" t="n"/>
      <c r="HZ87" s="27" t="n"/>
      <c r="IA87" s="27" t="n"/>
      <c r="IB87" s="27" t="n"/>
      <c r="IC87" s="27" t="n"/>
      <c r="ID87" s="27" t="n"/>
      <c r="IE87" s="27" t="n"/>
      <c r="IF87" s="27" t="n"/>
      <c r="IG87" s="27" t="n"/>
      <c r="IH87" s="27" t="n"/>
      <c r="II87" s="27" t="n"/>
      <c r="IJ87" s="27" t="n"/>
      <c r="IK87" s="27" t="n"/>
      <c r="IL87" s="27" t="n"/>
      <c r="IM87" s="27" t="n"/>
      <c r="IN87" s="27" t="n"/>
      <c r="IO87" s="27" t="n"/>
      <c r="IP87" s="27" t="n"/>
      <c r="IQ87" s="27" t="n"/>
      <c r="IR87" s="27" t="n"/>
      <c r="IS87" s="27" t="n"/>
      <c r="IT87" s="27" t="n"/>
      <c r="IU87" s="27" t="n"/>
      <c r="IV87" s="27" t="n"/>
    </row>
    <row r="88" ht="13" customHeight="1" s="195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  <c r="AA88" s="27" t="n"/>
      <c r="AB88" s="27" t="n"/>
      <c r="AC88" s="27" t="n"/>
      <c r="AD88" s="27" t="n"/>
      <c r="AE88" s="27" t="n"/>
      <c r="AF88" s="27" t="n"/>
      <c r="AG88" s="27" t="n"/>
      <c r="AH88" s="27" t="n"/>
      <c r="AI88" s="27" t="n"/>
      <c r="AJ88" s="27" t="n"/>
      <c r="AK88" s="27" t="n"/>
      <c r="AL88" s="27" t="n"/>
      <c r="AM88" s="27" t="n"/>
      <c r="AN88" s="27" t="n"/>
      <c r="AO88" s="27" t="n"/>
      <c r="AP88" s="27" t="n"/>
      <c r="AQ88" s="27" t="n"/>
      <c r="AR88" s="27" t="n"/>
      <c r="AS88" s="27" t="n"/>
      <c r="AT88" s="27" t="n"/>
      <c r="AU88" s="27" t="n"/>
      <c r="AV88" s="27" t="n"/>
      <c r="AW88" s="27" t="n"/>
      <c r="AX88" s="27" t="n"/>
      <c r="AY88" s="27" t="n"/>
      <c r="AZ88" s="27" t="n"/>
      <c r="BA88" s="27" t="n"/>
      <c r="BB88" s="27" t="n"/>
      <c r="BC88" s="27" t="n"/>
      <c r="BD88" s="27" t="n"/>
      <c r="BE88" s="27" t="n"/>
      <c r="BF88" s="27" t="n"/>
      <c r="BG88" s="27" t="n"/>
      <c r="BH88" s="27" t="n"/>
      <c r="BI88" s="27" t="n"/>
      <c r="BJ88" s="27" t="n"/>
      <c r="BK88" s="27" t="n"/>
      <c r="BL88" s="27" t="n"/>
      <c r="BM88" s="27" t="n"/>
      <c r="BN88" s="27" t="n"/>
      <c r="BO88" s="27" t="n"/>
      <c r="BP88" s="27" t="n"/>
      <c r="BQ88" s="27" t="n"/>
      <c r="BR88" s="27" t="n"/>
      <c r="BS88" s="27" t="n"/>
      <c r="BT88" s="27" t="n"/>
      <c r="BU88" s="27" t="n"/>
      <c r="BV88" s="27" t="n"/>
      <c r="BW88" s="27" t="n"/>
      <c r="BX88" s="27" t="n"/>
      <c r="BY88" s="27" t="n"/>
      <c r="BZ88" s="27" t="n"/>
      <c r="CA88" s="27" t="n"/>
      <c r="CB88" s="27" t="n"/>
      <c r="CC88" s="27" t="n"/>
      <c r="CD88" s="27" t="n"/>
      <c r="CE88" s="27" t="n"/>
      <c r="CF88" s="27" t="n"/>
      <c r="CG88" s="27" t="n"/>
      <c r="CH88" s="27" t="n"/>
      <c r="CI88" s="27" t="n"/>
      <c r="CJ88" s="27" t="n"/>
      <c r="CK88" s="27" t="n"/>
      <c r="CL88" s="27" t="n"/>
      <c r="CM88" s="27" t="n"/>
      <c r="CN88" s="27" t="n"/>
      <c r="CO88" s="27" t="n"/>
      <c r="CP88" s="27" t="n"/>
      <c r="CQ88" s="27" t="n"/>
      <c r="CR88" s="27" t="n"/>
      <c r="CS88" s="27" t="n"/>
      <c r="CT88" s="27" t="n"/>
      <c r="CU88" s="27" t="n"/>
      <c r="CV88" s="27" t="n"/>
      <c r="CW88" s="27" t="n"/>
      <c r="CX88" s="27" t="n"/>
      <c r="CY88" s="27" t="n"/>
      <c r="CZ88" s="27" t="n"/>
      <c r="DA88" s="27" t="n"/>
      <c r="DB88" s="27" t="n"/>
      <c r="DC88" s="27" t="n"/>
      <c r="DD88" s="27" t="n"/>
      <c r="DE88" s="27" t="n"/>
      <c r="DF88" s="27" t="n"/>
      <c r="DG88" s="27" t="n"/>
      <c r="DH88" s="27" t="n"/>
      <c r="DI88" s="27" t="n"/>
      <c r="DJ88" s="27" t="n"/>
      <c r="DK88" s="27" t="n"/>
      <c r="DL88" s="27" t="n"/>
      <c r="DM88" s="27" t="n"/>
      <c r="DN88" s="27" t="n"/>
      <c r="DO88" s="27" t="n"/>
      <c r="DP88" s="27" t="n"/>
      <c r="DQ88" s="27" t="n"/>
      <c r="DR88" s="27" t="n"/>
      <c r="DS88" s="27" t="n"/>
      <c r="DT88" s="27" t="n"/>
      <c r="DU88" s="27" t="n"/>
      <c r="DV88" s="27" t="n"/>
      <c r="DW88" s="27" t="n"/>
      <c r="DX88" s="27" t="n"/>
      <c r="DY88" s="27" t="n"/>
      <c r="DZ88" s="27" t="n"/>
      <c r="EA88" s="27" t="n"/>
      <c r="EB88" s="27" t="n"/>
      <c r="EC88" s="27" t="n"/>
      <c r="ED88" s="27" t="n"/>
      <c r="EE88" s="27" t="n"/>
      <c r="EF88" s="27" t="n"/>
      <c r="EG88" s="27" t="n"/>
      <c r="EH88" s="27" t="n"/>
      <c r="EI88" s="27" t="n"/>
      <c r="EJ88" s="27" t="n"/>
      <c r="EK88" s="27" t="n"/>
      <c r="EL88" s="27" t="n"/>
      <c r="EM88" s="27" t="n"/>
      <c r="EN88" s="27" t="n"/>
      <c r="EO88" s="27" t="n"/>
      <c r="EP88" s="27" t="n"/>
      <c r="EQ88" s="27" t="n"/>
      <c r="ER88" s="27" t="n"/>
      <c r="ES88" s="27" t="n"/>
      <c r="ET88" s="27" t="n"/>
      <c r="EU88" s="27" t="n"/>
      <c r="EV88" s="27" t="n"/>
      <c r="EW88" s="27" t="n"/>
      <c r="EX88" s="27" t="n"/>
      <c r="EY88" s="27" t="n"/>
      <c r="EZ88" s="27" t="n"/>
      <c r="FA88" s="27" t="n"/>
      <c r="FB88" s="27" t="n"/>
      <c r="FC88" s="27" t="n"/>
      <c r="FD88" s="27" t="n"/>
      <c r="FE88" s="27" t="n"/>
      <c r="FF88" s="27" t="n"/>
      <c r="FG88" s="27" t="n"/>
      <c r="FH88" s="27" t="n"/>
      <c r="FI88" s="27" t="n"/>
      <c r="FJ88" s="27" t="n"/>
      <c r="FK88" s="27" t="n"/>
      <c r="FL88" s="27" t="n"/>
      <c r="FM88" s="27" t="n"/>
      <c r="FN88" s="27" t="n"/>
      <c r="FO88" s="27" t="n"/>
      <c r="FP88" s="27" t="n"/>
      <c r="FQ88" s="27" t="n"/>
      <c r="FR88" s="27" t="n"/>
      <c r="FS88" s="27" t="n"/>
      <c r="FT88" s="27" t="n"/>
      <c r="FU88" s="27" t="n"/>
      <c r="FV88" s="27" t="n"/>
      <c r="FW88" s="27" t="n"/>
      <c r="FX88" s="27" t="n"/>
      <c r="FY88" s="27" t="n"/>
      <c r="FZ88" s="27" t="n"/>
      <c r="GA88" s="27" t="n"/>
      <c r="GB88" s="27" t="n"/>
      <c r="GC88" s="27" t="n"/>
      <c r="GD88" s="27" t="n"/>
      <c r="GE88" s="27" t="n"/>
      <c r="GF88" s="27" t="n"/>
      <c r="GG88" s="27" t="n"/>
      <c r="GH88" s="27" t="n"/>
      <c r="GI88" s="27" t="n"/>
      <c r="GJ88" s="27" t="n"/>
      <c r="GK88" s="27" t="n"/>
      <c r="GL88" s="27" t="n"/>
      <c r="GM88" s="27" t="n"/>
      <c r="GN88" s="27" t="n"/>
      <c r="GO88" s="27" t="n"/>
      <c r="GP88" s="27" t="n"/>
      <c r="GQ88" s="27" t="n"/>
      <c r="GR88" s="27" t="n"/>
      <c r="GS88" s="27" t="n"/>
      <c r="GT88" s="27" t="n"/>
      <c r="GU88" s="27" t="n"/>
      <c r="GV88" s="27" t="n"/>
      <c r="GW88" s="27" t="n"/>
      <c r="GX88" s="27" t="n"/>
      <c r="GY88" s="27" t="n"/>
      <c r="GZ88" s="27" t="n"/>
      <c r="HA88" s="27" t="n"/>
      <c r="HB88" s="27" t="n"/>
      <c r="HC88" s="27" t="n"/>
      <c r="HD88" s="27" t="n"/>
      <c r="HE88" s="27" t="n"/>
      <c r="HF88" s="27" t="n"/>
      <c r="HG88" s="27" t="n"/>
      <c r="HH88" s="27" t="n"/>
      <c r="HI88" s="27" t="n"/>
      <c r="HJ88" s="27" t="n"/>
      <c r="HK88" s="27" t="n"/>
      <c r="HL88" s="27" t="n"/>
      <c r="HM88" s="27" t="n"/>
      <c r="HN88" s="27" t="n"/>
      <c r="HO88" s="27" t="n"/>
      <c r="HP88" s="27" t="n"/>
      <c r="HQ88" s="27" t="n"/>
      <c r="HR88" s="27" t="n"/>
      <c r="HS88" s="27" t="n"/>
      <c r="HT88" s="27" t="n"/>
      <c r="HU88" s="27" t="n"/>
      <c r="HV88" s="27" t="n"/>
      <c r="HW88" s="27" t="n"/>
      <c r="HX88" s="27" t="n"/>
      <c r="HY88" s="27" t="n"/>
      <c r="HZ88" s="27" t="n"/>
      <c r="IA88" s="27" t="n"/>
      <c r="IB88" s="27" t="n"/>
      <c r="IC88" s="27" t="n"/>
      <c r="ID88" s="27" t="n"/>
      <c r="IE88" s="27" t="n"/>
      <c r="IF88" s="27" t="n"/>
      <c r="IG88" s="27" t="n"/>
      <c r="IH88" s="27" t="n"/>
      <c r="II88" s="27" t="n"/>
      <c r="IJ88" s="27" t="n"/>
      <c r="IK88" s="27" t="n"/>
      <c r="IL88" s="27" t="n"/>
      <c r="IM88" s="27" t="n"/>
      <c r="IN88" s="27" t="n"/>
      <c r="IO88" s="27" t="n"/>
      <c r="IP88" s="27" t="n"/>
      <c r="IQ88" s="27" t="n"/>
      <c r="IR88" s="27" t="n"/>
      <c r="IS88" s="27" t="n"/>
      <c r="IT88" s="27" t="n"/>
      <c r="IU88" s="27" t="n"/>
      <c r="IV88" s="27" t="n"/>
    </row>
    <row r="89" ht="13" customHeight="1" s="195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  <c r="AA89" s="27" t="n"/>
      <c r="AB89" s="27" t="n"/>
      <c r="AC89" s="27" t="n"/>
      <c r="AD89" s="27" t="n"/>
      <c r="AE89" s="27" t="n"/>
      <c r="AF89" s="27" t="n"/>
      <c r="AG89" s="27" t="n"/>
      <c r="AH89" s="27" t="n"/>
      <c r="AI89" s="27" t="n"/>
      <c r="AJ89" s="27" t="n"/>
      <c r="AK89" s="27" t="n"/>
      <c r="AL89" s="27" t="n"/>
      <c r="AM89" s="27" t="n"/>
      <c r="AN89" s="27" t="n"/>
      <c r="AO89" s="27" t="n"/>
      <c r="AP89" s="27" t="n"/>
      <c r="AQ89" s="27" t="n"/>
      <c r="AR89" s="27" t="n"/>
      <c r="AS89" s="27" t="n"/>
      <c r="AT89" s="27" t="n"/>
      <c r="AU89" s="27" t="n"/>
      <c r="AV89" s="27" t="n"/>
      <c r="AW89" s="27" t="n"/>
      <c r="AX89" s="27" t="n"/>
      <c r="AY89" s="27" t="n"/>
      <c r="AZ89" s="27" t="n"/>
      <c r="BA89" s="27" t="n"/>
      <c r="BB89" s="27" t="n"/>
      <c r="BC89" s="27" t="n"/>
      <c r="BD89" s="27" t="n"/>
      <c r="BE89" s="27" t="n"/>
      <c r="BF89" s="27" t="n"/>
      <c r="BG89" s="27" t="n"/>
      <c r="BH89" s="27" t="n"/>
      <c r="BI89" s="27" t="n"/>
      <c r="BJ89" s="27" t="n"/>
      <c r="BK89" s="27" t="n"/>
      <c r="BL89" s="27" t="n"/>
      <c r="BM89" s="27" t="n"/>
      <c r="BN89" s="27" t="n"/>
      <c r="BO89" s="27" t="n"/>
      <c r="BP89" s="27" t="n"/>
      <c r="BQ89" s="27" t="n"/>
      <c r="BR89" s="27" t="n"/>
      <c r="BS89" s="27" t="n"/>
      <c r="BT89" s="27" t="n"/>
      <c r="BU89" s="27" t="n"/>
      <c r="BV89" s="27" t="n"/>
      <c r="BW89" s="27" t="n"/>
      <c r="BX89" s="27" t="n"/>
      <c r="BY89" s="27" t="n"/>
      <c r="BZ89" s="27" t="n"/>
      <c r="CA89" s="27" t="n"/>
      <c r="CB89" s="27" t="n"/>
      <c r="CC89" s="27" t="n"/>
      <c r="CD89" s="27" t="n"/>
      <c r="CE89" s="27" t="n"/>
      <c r="CF89" s="27" t="n"/>
      <c r="CG89" s="27" t="n"/>
      <c r="CH89" s="27" t="n"/>
      <c r="CI89" s="27" t="n"/>
      <c r="CJ89" s="27" t="n"/>
      <c r="CK89" s="27" t="n"/>
      <c r="CL89" s="27" t="n"/>
      <c r="CM89" s="27" t="n"/>
      <c r="CN89" s="27" t="n"/>
      <c r="CO89" s="27" t="n"/>
      <c r="CP89" s="27" t="n"/>
      <c r="CQ89" s="27" t="n"/>
      <c r="CR89" s="27" t="n"/>
      <c r="CS89" s="27" t="n"/>
      <c r="CT89" s="27" t="n"/>
      <c r="CU89" s="27" t="n"/>
      <c r="CV89" s="27" t="n"/>
      <c r="CW89" s="27" t="n"/>
      <c r="CX89" s="27" t="n"/>
      <c r="CY89" s="27" t="n"/>
      <c r="CZ89" s="27" t="n"/>
      <c r="DA89" s="27" t="n"/>
      <c r="DB89" s="27" t="n"/>
      <c r="DC89" s="27" t="n"/>
      <c r="DD89" s="27" t="n"/>
      <c r="DE89" s="27" t="n"/>
      <c r="DF89" s="27" t="n"/>
      <c r="DG89" s="27" t="n"/>
      <c r="DH89" s="27" t="n"/>
      <c r="DI89" s="27" t="n"/>
      <c r="DJ89" s="27" t="n"/>
      <c r="DK89" s="27" t="n"/>
      <c r="DL89" s="27" t="n"/>
      <c r="DM89" s="27" t="n"/>
      <c r="DN89" s="27" t="n"/>
      <c r="DO89" s="27" t="n"/>
      <c r="DP89" s="27" t="n"/>
      <c r="DQ89" s="27" t="n"/>
      <c r="DR89" s="27" t="n"/>
      <c r="DS89" s="27" t="n"/>
      <c r="DT89" s="27" t="n"/>
      <c r="DU89" s="27" t="n"/>
      <c r="DV89" s="27" t="n"/>
      <c r="DW89" s="27" t="n"/>
      <c r="DX89" s="27" t="n"/>
      <c r="DY89" s="27" t="n"/>
      <c r="DZ89" s="27" t="n"/>
      <c r="EA89" s="27" t="n"/>
      <c r="EB89" s="27" t="n"/>
      <c r="EC89" s="27" t="n"/>
      <c r="ED89" s="27" t="n"/>
      <c r="EE89" s="27" t="n"/>
      <c r="EF89" s="27" t="n"/>
      <c r="EG89" s="27" t="n"/>
      <c r="EH89" s="27" t="n"/>
      <c r="EI89" s="27" t="n"/>
      <c r="EJ89" s="27" t="n"/>
      <c r="EK89" s="27" t="n"/>
      <c r="EL89" s="27" t="n"/>
      <c r="EM89" s="27" t="n"/>
      <c r="EN89" s="27" t="n"/>
      <c r="EO89" s="27" t="n"/>
      <c r="EP89" s="27" t="n"/>
      <c r="EQ89" s="27" t="n"/>
      <c r="ER89" s="27" t="n"/>
      <c r="ES89" s="27" t="n"/>
      <c r="ET89" s="27" t="n"/>
      <c r="EU89" s="27" t="n"/>
      <c r="EV89" s="27" t="n"/>
      <c r="EW89" s="27" t="n"/>
      <c r="EX89" s="27" t="n"/>
      <c r="EY89" s="27" t="n"/>
      <c r="EZ89" s="27" t="n"/>
      <c r="FA89" s="27" t="n"/>
      <c r="FB89" s="27" t="n"/>
      <c r="FC89" s="27" t="n"/>
      <c r="FD89" s="27" t="n"/>
      <c r="FE89" s="27" t="n"/>
      <c r="FF89" s="27" t="n"/>
      <c r="FG89" s="27" t="n"/>
      <c r="FH89" s="27" t="n"/>
      <c r="FI89" s="27" t="n"/>
      <c r="FJ89" s="27" t="n"/>
      <c r="FK89" s="27" t="n"/>
      <c r="FL89" s="27" t="n"/>
      <c r="FM89" s="27" t="n"/>
      <c r="FN89" s="27" t="n"/>
      <c r="FO89" s="27" t="n"/>
      <c r="FP89" s="27" t="n"/>
      <c r="FQ89" s="27" t="n"/>
      <c r="FR89" s="27" t="n"/>
      <c r="FS89" s="27" t="n"/>
      <c r="FT89" s="27" t="n"/>
      <c r="FU89" s="27" t="n"/>
      <c r="FV89" s="27" t="n"/>
      <c r="FW89" s="27" t="n"/>
      <c r="FX89" s="27" t="n"/>
      <c r="FY89" s="27" t="n"/>
      <c r="FZ89" s="27" t="n"/>
      <c r="GA89" s="27" t="n"/>
      <c r="GB89" s="27" t="n"/>
      <c r="GC89" s="27" t="n"/>
      <c r="GD89" s="27" t="n"/>
      <c r="GE89" s="27" t="n"/>
      <c r="GF89" s="27" t="n"/>
      <c r="GG89" s="27" t="n"/>
      <c r="GH89" s="27" t="n"/>
      <c r="GI89" s="27" t="n"/>
      <c r="GJ89" s="27" t="n"/>
      <c r="GK89" s="27" t="n"/>
      <c r="GL89" s="27" t="n"/>
      <c r="GM89" s="27" t="n"/>
      <c r="GN89" s="27" t="n"/>
      <c r="GO89" s="27" t="n"/>
      <c r="GP89" s="27" t="n"/>
      <c r="GQ89" s="27" t="n"/>
      <c r="GR89" s="27" t="n"/>
      <c r="GS89" s="27" t="n"/>
      <c r="GT89" s="27" t="n"/>
      <c r="GU89" s="27" t="n"/>
      <c r="GV89" s="27" t="n"/>
      <c r="GW89" s="27" t="n"/>
      <c r="GX89" s="27" t="n"/>
      <c r="GY89" s="27" t="n"/>
      <c r="GZ89" s="27" t="n"/>
      <c r="HA89" s="27" t="n"/>
      <c r="HB89" s="27" t="n"/>
      <c r="HC89" s="27" t="n"/>
      <c r="HD89" s="27" t="n"/>
      <c r="HE89" s="27" t="n"/>
      <c r="HF89" s="27" t="n"/>
      <c r="HG89" s="27" t="n"/>
      <c r="HH89" s="27" t="n"/>
      <c r="HI89" s="27" t="n"/>
      <c r="HJ89" s="27" t="n"/>
      <c r="HK89" s="27" t="n"/>
      <c r="HL89" s="27" t="n"/>
      <c r="HM89" s="27" t="n"/>
      <c r="HN89" s="27" t="n"/>
      <c r="HO89" s="27" t="n"/>
      <c r="HP89" s="27" t="n"/>
      <c r="HQ89" s="27" t="n"/>
      <c r="HR89" s="27" t="n"/>
      <c r="HS89" s="27" t="n"/>
      <c r="HT89" s="27" t="n"/>
      <c r="HU89" s="27" t="n"/>
      <c r="HV89" s="27" t="n"/>
      <c r="HW89" s="27" t="n"/>
      <c r="HX89" s="27" t="n"/>
      <c r="HY89" s="27" t="n"/>
      <c r="HZ89" s="27" t="n"/>
      <c r="IA89" s="27" t="n"/>
      <c r="IB89" s="27" t="n"/>
      <c r="IC89" s="27" t="n"/>
      <c r="ID89" s="27" t="n"/>
      <c r="IE89" s="27" t="n"/>
      <c r="IF89" s="27" t="n"/>
      <c r="IG89" s="27" t="n"/>
      <c r="IH89" s="27" t="n"/>
      <c r="II89" s="27" t="n"/>
      <c r="IJ89" s="27" t="n"/>
      <c r="IK89" s="27" t="n"/>
      <c r="IL89" s="27" t="n"/>
      <c r="IM89" s="27" t="n"/>
      <c r="IN89" s="27" t="n"/>
      <c r="IO89" s="27" t="n"/>
      <c r="IP89" s="27" t="n"/>
      <c r="IQ89" s="27" t="n"/>
      <c r="IR89" s="27" t="n"/>
      <c r="IS89" s="27" t="n"/>
      <c r="IT89" s="27" t="n"/>
      <c r="IU89" s="27" t="n"/>
      <c r="IV89" s="27" t="n"/>
    </row>
    <row r="90" ht="13" customHeight="1" s="195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  <c r="AA90" s="27" t="n"/>
      <c r="AB90" s="27" t="n"/>
      <c r="AC90" s="27" t="n"/>
      <c r="AD90" s="27" t="n"/>
      <c r="AE90" s="27" t="n"/>
      <c r="AF90" s="27" t="n"/>
      <c r="AG90" s="27" t="n"/>
      <c r="AH90" s="27" t="n"/>
      <c r="AI90" s="27" t="n"/>
      <c r="AJ90" s="27" t="n"/>
      <c r="AK90" s="27" t="n"/>
      <c r="AL90" s="27" t="n"/>
      <c r="AM90" s="27" t="n"/>
      <c r="AN90" s="27" t="n"/>
      <c r="AO90" s="27" t="n"/>
      <c r="AP90" s="27" t="n"/>
      <c r="AQ90" s="27" t="n"/>
      <c r="AR90" s="27" t="n"/>
      <c r="AS90" s="27" t="n"/>
      <c r="AT90" s="27" t="n"/>
      <c r="AU90" s="27" t="n"/>
      <c r="AV90" s="27" t="n"/>
      <c r="AW90" s="27" t="n"/>
      <c r="AX90" s="27" t="n"/>
      <c r="AY90" s="27" t="n"/>
      <c r="AZ90" s="27" t="n"/>
      <c r="BA90" s="27" t="n"/>
      <c r="BB90" s="27" t="n"/>
      <c r="BC90" s="27" t="n"/>
      <c r="BD90" s="27" t="n"/>
      <c r="BE90" s="27" t="n"/>
      <c r="BF90" s="27" t="n"/>
      <c r="BG90" s="27" t="n"/>
      <c r="BH90" s="27" t="n"/>
      <c r="BI90" s="27" t="n"/>
      <c r="BJ90" s="27" t="n"/>
      <c r="BK90" s="27" t="n"/>
      <c r="BL90" s="27" t="n"/>
      <c r="BM90" s="27" t="n"/>
      <c r="BN90" s="27" t="n"/>
      <c r="BO90" s="27" t="n"/>
      <c r="BP90" s="27" t="n"/>
      <c r="BQ90" s="27" t="n"/>
      <c r="BR90" s="27" t="n"/>
      <c r="BS90" s="27" t="n"/>
      <c r="BT90" s="27" t="n"/>
      <c r="BU90" s="27" t="n"/>
      <c r="BV90" s="27" t="n"/>
      <c r="BW90" s="27" t="n"/>
      <c r="BX90" s="27" t="n"/>
      <c r="BY90" s="27" t="n"/>
      <c r="BZ90" s="27" t="n"/>
      <c r="CA90" s="27" t="n"/>
      <c r="CB90" s="27" t="n"/>
      <c r="CC90" s="27" t="n"/>
      <c r="CD90" s="27" t="n"/>
      <c r="CE90" s="27" t="n"/>
      <c r="CF90" s="27" t="n"/>
      <c r="CG90" s="27" t="n"/>
      <c r="CH90" s="27" t="n"/>
      <c r="CI90" s="27" t="n"/>
      <c r="CJ90" s="27" t="n"/>
      <c r="CK90" s="27" t="n"/>
      <c r="CL90" s="27" t="n"/>
      <c r="CM90" s="27" t="n"/>
      <c r="CN90" s="27" t="n"/>
      <c r="CO90" s="27" t="n"/>
      <c r="CP90" s="27" t="n"/>
      <c r="CQ90" s="27" t="n"/>
      <c r="CR90" s="27" t="n"/>
      <c r="CS90" s="27" t="n"/>
      <c r="CT90" s="27" t="n"/>
      <c r="CU90" s="27" t="n"/>
      <c r="CV90" s="27" t="n"/>
      <c r="CW90" s="27" t="n"/>
      <c r="CX90" s="27" t="n"/>
      <c r="CY90" s="27" t="n"/>
      <c r="CZ90" s="27" t="n"/>
      <c r="DA90" s="27" t="n"/>
      <c r="DB90" s="27" t="n"/>
      <c r="DC90" s="27" t="n"/>
      <c r="DD90" s="27" t="n"/>
      <c r="DE90" s="27" t="n"/>
      <c r="DF90" s="27" t="n"/>
      <c r="DG90" s="27" t="n"/>
      <c r="DH90" s="27" t="n"/>
      <c r="DI90" s="27" t="n"/>
      <c r="DJ90" s="27" t="n"/>
      <c r="DK90" s="27" t="n"/>
      <c r="DL90" s="27" t="n"/>
      <c r="DM90" s="27" t="n"/>
      <c r="DN90" s="27" t="n"/>
      <c r="DO90" s="27" t="n"/>
      <c r="DP90" s="27" t="n"/>
      <c r="DQ90" s="27" t="n"/>
      <c r="DR90" s="27" t="n"/>
      <c r="DS90" s="27" t="n"/>
      <c r="DT90" s="27" t="n"/>
      <c r="DU90" s="27" t="n"/>
      <c r="DV90" s="27" t="n"/>
      <c r="DW90" s="27" t="n"/>
      <c r="DX90" s="27" t="n"/>
      <c r="DY90" s="27" t="n"/>
      <c r="DZ90" s="27" t="n"/>
      <c r="EA90" s="27" t="n"/>
      <c r="EB90" s="27" t="n"/>
      <c r="EC90" s="27" t="n"/>
      <c r="ED90" s="27" t="n"/>
      <c r="EE90" s="27" t="n"/>
      <c r="EF90" s="27" t="n"/>
      <c r="EG90" s="27" t="n"/>
      <c r="EH90" s="27" t="n"/>
      <c r="EI90" s="27" t="n"/>
      <c r="EJ90" s="27" t="n"/>
      <c r="EK90" s="27" t="n"/>
      <c r="EL90" s="27" t="n"/>
      <c r="EM90" s="27" t="n"/>
      <c r="EN90" s="27" t="n"/>
      <c r="EO90" s="27" t="n"/>
      <c r="EP90" s="27" t="n"/>
      <c r="EQ90" s="27" t="n"/>
      <c r="ER90" s="27" t="n"/>
      <c r="ES90" s="27" t="n"/>
      <c r="ET90" s="27" t="n"/>
      <c r="EU90" s="27" t="n"/>
      <c r="EV90" s="27" t="n"/>
      <c r="EW90" s="27" t="n"/>
      <c r="EX90" s="27" t="n"/>
      <c r="EY90" s="27" t="n"/>
      <c r="EZ90" s="27" t="n"/>
      <c r="FA90" s="27" t="n"/>
      <c r="FB90" s="27" t="n"/>
      <c r="FC90" s="27" t="n"/>
      <c r="FD90" s="27" t="n"/>
      <c r="FE90" s="27" t="n"/>
      <c r="FF90" s="27" t="n"/>
      <c r="FG90" s="27" t="n"/>
      <c r="FH90" s="27" t="n"/>
      <c r="FI90" s="27" t="n"/>
      <c r="FJ90" s="27" t="n"/>
      <c r="FK90" s="27" t="n"/>
      <c r="FL90" s="27" t="n"/>
      <c r="FM90" s="27" t="n"/>
      <c r="FN90" s="27" t="n"/>
      <c r="FO90" s="27" t="n"/>
      <c r="FP90" s="27" t="n"/>
      <c r="FQ90" s="27" t="n"/>
      <c r="FR90" s="27" t="n"/>
      <c r="FS90" s="27" t="n"/>
      <c r="FT90" s="27" t="n"/>
      <c r="FU90" s="27" t="n"/>
      <c r="FV90" s="27" t="n"/>
      <c r="FW90" s="27" t="n"/>
      <c r="FX90" s="27" t="n"/>
      <c r="FY90" s="27" t="n"/>
      <c r="FZ90" s="27" t="n"/>
      <c r="GA90" s="27" t="n"/>
      <c r="GB90" s="27" t="n"/>
      <c r="GC90" s="27" t="n"/>
      <c r="GD90" s="27" t="n"/>
      <c r="GE90" s="27" t="n"/>
      <c r="GF90" s="27" t="n"/>
      <c r="GG90" s="27" t="n"/>
      <c r="GH90" s="27" t="n"/>
      <c r="GI90" s="27" t="n"/>
      <c r="GJ90" s="27" t="n"/>
      <c r="GK90" s="27" t="n"/>
      <c r="GL90" s="27" t="n"/>
      <c r="GM90" s="27" t="n"/>
      <c r="GN90" s="27" t="n"/>
      <c r="GO90" s="27" t="n"/>
      <c r="GP90" s="27" t="n"/>
      <c r="GQ90" s="27" t="n"/>
      <c r="GR90" s="27" t="n"/>
      <c r="GS90" s="27" t="n"/>
      <c r="GT90" s="27" t="n"/>
      <c r="GU90" s="27" t="n"/>
      <c r="GV90" s="27" t="n"/>
      <c r="GW90" s="27" t="n"/>
      <c r="GX90" s="27" t="n"/>
      <c r="GY90" s="27" t="n"/>
      <c r="GZ90" s="27" t="n"/>
      <c r="HA90" s="27" t="n"/>
      <c r="HB90" s="27" t="n"/>
      <c r="HC90" s="27" t="n"/>
      <c r="HD90" s="27" t="n"/>
      <c r="HE90" s="27" t="n"/>
      <c r="HF90" s="27" t="n"/>
      <c r="HG90" s="27" t="n"/>
      <c r="HH90" s="27" t="n"/>
      <c r="HI90" s="27" t="n"/>
      <c r="HJ90" s="27" t="n"/>
      <c r="HK90" s="27" t="n"/>
      <c r="HL90" s="27" t="n"/>
      <c r="HM90" s="27" t="n"/>
      <c r="HN90" s="27" t="n"/>
      <c r="HO90" s="27" t="n"/>
      <c r="HP90" s="27" t="n"/>
      <c r="HQ90" s="27" t="n"/>
      <c r="HR90" s="27" t="n"/>
      <c r="HS90" s="27" t="n"/>
      <c r="HT90" s="27" t="n"/>
      <c r="HU90" s="27" t="n"/>
      <c r="HV90" s="27" t="n"/>
      <c r="HW90" s="27" t="n"/>
      <c r="HX90" s="27" t="n"/>
      <c r="HY90" s="27" t="n"/>
      <c r="HZ90" s="27" t="n"/>
      <c r="IA90" s="27" t="n"/>
      <c r="IB90" s="27" t="n"/>
      <c r="IC90" s="27" t="n"/>
      <c r="ID90" s="27" t="n"/>
      <c r="IE90" s="27" t="n"/>
      <c r="IF90" s="27" t="n"/>
      <c r="IG90" s="27" t="n"/>
      <c r="IH90" s="27" t="n"/>
      <c r="II90" s="27" t="n"/>
      <c r="IJ90" s="27" t="n"/>
      <c r="IK90" s="27" t="n"/>
      <c r="IL90" s="27" t="n"/>
      <c r="IM90" s="27" t="n"/>
      <c r="IN90" s="27" t="n"/>
      <c r="IO90" s="27" t="n"/>
      <c r="IP90" s="27" t="n"/>
      <c r="IQ90" s="27" t="n"/>
      <c r="IR90" s="27" t="n"/>
      <c r="IS90" s="27" t="n"/>
      <c r="IT90" s="27" t="n"/>
      <c r="IU90" s="27" t="n"/>
      <c r="IV90" s="27" t="n"/>
    </row>
    <row r="91" ht="13" customHeight="1" s="195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  <c r="AA91" s="27" t="n"/>
      <c r="AB91" s="27" t="n"/>
      <c r="AC91" s="27" t="n"/>
      <c r="AD91" s="27" t="n"/>
      <c r="AE91" s="27" t="n"/>
      <c r="AF91" s="27" t="n"/>
      <c r="AG91" s="27" t="n"/>
      <c r="AH91" s="27" t="n"/>
      <c r="AI91" s="27" t="n"/>
      <c r="AJ91" s="27" t="n"/>
      <c r="AK91" s="27" t="n"/>
      <c r="AL91" s="27" t="n"/>
      <c r="AM91" s="27" t="n"/>
      <c r="AN91" s="27" t="n"/>
      <c r="AO91" s="27" t="n"/>
      <c r="AP91" s="27" t="n"/>
      <c r="AQ91" s="27" t="n"/>
      <c r="AR91" s="27" t="n"/>
      <c r="AS91" s="27" t="n"/>
      <c r="AT91" s="27" t="n"/>
      <c r="AU91" s="27" t="n"/>
      <c r="AV91" s="27" t="n"/>
      <c r="AW91" s="27" t="n"/>
      <c r="AX91" s="27" t="n"/>
      <c r="AY91" s="27" t="n"/>
      <c r="AZ91" s="27" t="n"/>
      <c r="BA91" s="27" t="n"/>
      <c r="BB91" s="27" t="n"/>
      <c r="BC91" s="27" t="n"/>
      <c r="BD91" s="27" t="n"/>
      <c r="BE91" s="27" t="n"/>
      <c r="BF91" s="27" t="n"/>
      <c r="BG91" s="27" t="n"/>
      <c r="BH91" s="27" t="n"/>
      <c r="BI91" s="27" t="n"/>
      <c r="BJ91" s="27" t="n"/>
      <c r="BK91" s="27" t="n"/>
      <c r="BL91" s="27" t="n"/>
      <c r="BM91" s="27" t="n"/>
      <c r="BN91" s="27" t="n"/>
      <c r="BO91" s="27" t="n"/>
      <c r="BP91" s="27" t="n"/>
      <c r="BQ91" s="27" t="n"/>
      <c r="BR91" s="27" t="n"/>
      <c r="BS91" s="27" t="n"/>
      <c r="BT91" s="27" t="n"/>
      <c r="BU91" s="27" t="n"/>
      <c r="BV91" s="27" t="n"/>
      <c r="BW91" s="27" t="n"/>
      <c r="BX91" s="27" t="n"/>
      <c r="BY91" s="27" t="n"/>
      <c r="BZ91" s="27" t="n"/>
      <c r="CA91" s="27" t="n"/>
      <c r="CB91" s="27" t="n"/>
      <c r="CC91" s="27" t="n"/>
      <c r="CD91" s="27" t="n"/>
      <c r="CE91" s="27" t="n"/>
      <c r="CF91" s="27" t="n"/>
      <c r="CG91" s="27" t="n"/>
      <c r="CH91" s="27" t="n"/>
      <c r="CI91" s="27" t="n"/>
      <c r="CJ91" s="27" t="n"/>
      <c r="CK91" s="27" t="n"/>
      <c r="CL91" s="27" t="n"/>
      <c r="CM91" s="27" t="n"/>
      <c r="CN91" s="27" t="n"/>
      <c r="CO91" s="27" t="n"/>
      <c r="CP91" s="27" t="n"/>
      <c r="CQ91" s="27" t="n"/>
      <c r="CR91" s="27" t="n"/>
      <c r="CS91" s="27" t="n"/>
      <c r="CT91" s="27" t="n"/>
      <c r="CU91" s="27" t="n"/>
      <c r="CV91" s="27" t="n"/>
      <c r="CW91" s="27" t="n"/>
      <c r="CX91" s="27" t="n"/>
      <c r="CY91" s="27" t="n"/>
      <c r="CZ91" s="27" t="n"/>
      <c r="DA91" s="27" t="n"/>
      <c r="DB91" s="27" t="n"/>
      <c r="DC91" s="27" t="n"/>
      <c r="DD91" s="27" t="n"/>
      <c r="DE91" s="27" t="n"/>
      <c r="DF91" s="27" t="n"/>
      <c r="DG91" s="27" t="n"/>
      <c r="DH91" s="27" t="n"/>
      <c r="DI91" s="27" t="n"/>
      <c r="DJ91" s="27" t="n"/>
      <c r="DK91" s="27" t="n"/>
      <c r="DL91" s="27" t="n"/>
      <c r="DM91" s="27" t="n"/>
      <c r="DN91" s="27" t="n"/>
      <c r="DO91" s="27" t="n"/>
      <c r="DP91" s="27" t="n"/>
      <c r="DQ91" s="27" t="n"/>
      <c r="DR91" s="27" t="n"/>
      <c r="DS91" s="27" t="n"/>
      <c r="DT91" s="27" t="n"/>
      <c r="DU91" s="27" t="n"/>
      <c r="DV91" s="27" t="n"/>
      <c r="DW91" s="27" t="n"/>
      <c r="DX91" s="27" t="n"/>
      <c r="DY91" s="27" t="n"/>
      <c r="DZ91" s="27" t="n"/>
      <c r="EA91" s="27" t="n"/>
      <c r="EB91" s="27" t="n"/>
      <c r="EC91" s="27" t="n"/>
      <c r="ED91" s="27" t="n"/>
      <c r="EE91" s="27" t="n"/>
      <c r="EF91" s="27" t="n"/>
      <c r="EG91" s="27" t="n"/>
      <c r="EH91" s="27" t="n"/>
      <c r="EI91" s="27" t="n"/>
      <c r="EJ91" s="27" t="n"/>
      <c r="EK91" s="27" t="n"/>
      <c r="EL91" s="27" t="n"/>
      <c r="EM91" s="27" t="n"/>
      <c r="EN91" s="27" t="n"/>
      <c r="EO91" s="27" t="n"/>
      <c r="EP91" s="27" t="n"/>
      <c r="EQ91" s="27" t="n"/>
      <c r="ER91" s="27" t="n"/>
      <c r="ES91" s="27" t="n"/>
      <c r="ET91" s="27" t="n"/>
      <c r="EU91" s="27" t="n"/>
      <c r="EV91" s="27" t="n"/>
      <c r="EW91" s="27" t="n"/>
      <c r="EX91" s="27" t="n"/>
      <c r="EY91" s="27" t="n"/>
      <c r="EZ91" s="27" t="n"/>
      <c r="FA91" s="27" t="n"/>
      <c r="FB91" s="27" t="n"/>
      <c r="FC91" s="27" t="n"/>
      <c r="FD91" s="27" t="n"/>
      <c r="FE91" s="27" t="n"/>
      <c r="FF91" s="27" t="n"/>
      <c r="FG91" s="27" t="n"/>
      <c r="FH91" s="27" t="n"/>
      <c r="FI91" s="27" t="n"/>
      <c r="FJ91" s="27" t="n"/>
      <c r="FK91" s="27" t="n"/>
      <c r="FL91" s="27" t="n"/>
      <c r="FM91" s="27" t="n"/>
      <c r="FN91" s="27" t="n"/>
      <c r="FO91" s="27" t="n"/>
      <c r="FP91" s="27" t="n"/>
      <c r="FQ91" s="27" t="n"/>
      <c r="FR91" s="27" t="n"/>
      <c r="FS91" s="27" t="n"/>
      <c r="FT91" s="27" t="n"/>
      <c r="FU91" s="27" t="n"/>
      <c r="FV91" s="27" t="n"/>
      <c r="FW91" s="27" t="n"/>
      <c r="FX91" s="27" t="n"/>
      <c r="FY91" s="27" t="n"/>
      <c r="FZ91" s="27" t="n"/>
      <c r="GA91" s="27" t="n"/>
      <c r="GB91" s="27" t="n"/>
      <c r="GC91" s="27" t="n"/>
      <c r="GD91" s="27" t="n"/>
      <c r="GE91" s="27" t="n"/>
      <c r="GF91" s="27" t="n"/>
      <c r="GG91" s="27" t="n"/>
      <c r="GH91" s="27" t="n"/>
      <c r="GI91" s="27" t="n"/>
      <c r="GJ91" s="27" t="n"/>
      <c r="GK91" s="27" t="n"/>
      <c r="GL91" s="27" t="n"/>
      <c r="GM91" s="27" t="n"/>
      <c r="GN91" s="27" t="n"/>
      <c r="GO91" s="27" t="n"/>
      <c r="GP91" s="27" t="n"/>
      <c r="GQ91" s="27" t="n"/>
      <c r="GR91" s="27" t="n"/>
      <c r="GS91" s="27" t="n"/>
      <c r="GT91" s="27" t="n"/>
      <c r="GU91" s="27" t="n"/>
      <c r="GV91" s="27" t="n"/>
      <c r="GW91" s="27" t="n"/>
      <c r="GX91" s="27" t="n"/>
      <c r="GY91" s="27" t="n"/>
      <c r="GZ91" s="27" t="n"/>
      <c r="HA91" s="27" t="n"/>
      <c r="HB91" s="27" t="n"/>
      <c r="HC91" s="27" t="n"/>
      <c r="HD91" s="27" t="n"/>
      <c r="HE91" s="27" t="n"/>
      <c r="HF91" s="27" t="n"/>
      <c r="HG91" s="27" t="n"/>
      <c r="HH91" s="27" t="n"/>
      <c r="HI91" s="27" t="n"/>
      <c r="HJ91" s="27" t="n"/>
      <c r="HK91" s="27" t="n"/>
      <c r="HL91" s="27" t="n"/>
      <c r="HM91" s="27" t="n"/>
      <c r="HN91" s="27" t="n"/>
      <c r="HO91" s="27" t="n"/>
      <c r="HP91" s="27" t="n"/>
      <c r="HQ91" s="27" t="n"/>
      <c r="HR91" s="27" t="n"/>
      <c r="HS91" s="27" t="n"/>
      <c r="HT91" s="27" t="n"/>
      <c r="HU91" s="27" t="n"/>
      <c r="HV91" s="27" t="n"/>
      <c r="HW91" s="27" t="n"/>
      <c r="HX91" s="27" t="n"/>
      <c r="HY91" s="27" t="n"/>
      <c r="HZ91" s="27" t="n"/>
      <c r="IA91" s="27" t="n"/>
      <c r="IB91" s="27" t="n"/>
      <c r="IC91" s="27" t="n"/>
      <c r="ID91" s="27" t="n"/>
      <c r="IE91" s="27" t="n"/>
      <c r="IF91" s="27" t="n"/>
      <c r="IG91" s="27" t="n"/>
      <c r="IH91" s="27" t="n"/>
      <c r="II91" s="27" t="n"/>
      <c r="IJ91" s="27" t="n"/>
      <c r="IK91" s="27" t="n"/>
      <c r="IL91" s="27" t="n"/>
      <c r="IM91" s="27" t="n"/>
      <c r="IN91" s="27" t="n"/>
      <c r="IO91" s="27" t="n"/>
      <c r="IP91" s="27" t="n"/>
      <c r="IQ91" s="27" t="n"/>
      <c r="IR91" s="27" t="n"/>
      <c r="IS91" s="27" t="n"/>
      <c r="IT91" s="27" t="n"/>
      <c r="IU91" s="27" t="n"/>
      <c r="IV91" s="27" t="n"/>
    </row>
    <row r="92" ht="13" customHeight="1" s="195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  <c r="AA92" s="27" t="n"/>
      <c r="AB92" s="27" t="n"/>
      <c r="AC92" s="27" t="n"/>
      <c r="AD92" s="27" t="n"/>
      <c r="AE92" s="27" t="n"/>
      <c r="AF92" s="27" t="n"/>
      <c r="AG92" s="27" t="n"/>
      <c r="AH92" s="27" t="n"/>
      <c r="AI92" s="27" t="n"/>
      <c r="AJ92" s="27" t="n"/>
      <c r="AK92" s="27" t="n"/>
      <c r="AL92" s="27" t="n"/>
      <c r="AM92" s="27" t="n"/>
      <c r="AN92" s="27" t="n"/>
      <c r="AO92" s="27" t="n"/>
      <c r="AP92" s="27" t="n"/>
      <c r="AQ92" s="27" t="n"/>
      <c r="AR92" s="27" t="n"/>
      <c r="AS92" s="27" t="n"/>
      <c r="AT92" s="27" t="n"/>
      <c r="AU92" s="27" t="n"/>
      <c r="AV92" s="27" t="n"/>
      <c r="AW92" s="27" t="n"/>
      <c r="AX92" s="27" t="n"/>
      <c r="AY92" s="27" t="n"/>
      <c r="AZ92" s="27" t="n"/>
      <c r="BA92" s="27" t="n"/>
      <c r="BB92" s="27" t="n"/>
      <c r="BC92" s="27" t="n"/>
      <c r="BD92" s="27" t="n"/>
      <c r="BE92" s="27" t="n"/>
      <c r="BF92" s="27" t="n"/>
      <c r="BG92" s="27" t="n"/>
      <c r="BH92" s="27" t="n"/>
      <c r="BI92" s="27" t="n"/>
      <c r="BJ92" s="27" t="n"/>
      <c r="BK92" s="27" t="n"/>
      <c r="BL92" s="27" t="n"/>
      <c r="BM92" s="27" t="n"/>
      <c r="BN92" s="27" t="n"/>
      <c r="BO92" s="27" t="n"/>
      <c r="BP92" s="27" t="n"/>
      <c r="BQ92" s="27" t="n"/>
      <c r="BR92" s="27" t="n"/>
      <c r="BS92" s="27" t="n"/>
      <c r="BT92" s="27" t="n"/>
      <c r="BU92" s="27" t="n"/>
      <c r="BV92" s="27" t="n"/>
      <c r="BW92" s="27" t="n"/>
      <c r="BX92" s="27" t="n"/>
      <c r="BY92" s="27" t="n"/>
      <c r="BZ92" s="27" t="n"/>
      <c r="CA92" s="27" t="n"/>
      <c r="CB92" s="27" t="n"/>
      <c r="CC92" s="27" t="n"/>
      <c r="CD92" s="27" t="n"/>
      <c r="CE92" s="27" t="n"/>
      <c r="CF92" s="27" t="n"/>
      <c r="CG92" s="27" t="n"/>
      <c r="CH92" s="27" t="n"/>
      <c r="CI92" s="27" t="n"/>
      <c r="CJ92" s="27" t="n"/>
      <c r="CK92" s="27" t="n"/>
      <c r="CL92" s="27" t="n"/>
      <c r="CM92" s="27" t="n"/>
      <c r="CN92" s="27" t="n"/>
      <c r="CO92" s="27" t="n"/>
      <c r="CP92" s="27" t="n"/>
      <c r="CQ92" s="27" t="n"/>
      <c r="CR92" s="27" t="n"/>
      <c r="CS92" s="27" t="n"/>
      <c r="CT92" s="27" t="n"/>
      <c r="CU92" s="27" t="n"/>
      <c r="CV92" s="27" t="n"/>
      <c r="CW92" s="27" t="n"/>
      <c r="CX92" s="27" t="n"/>
      <c r="CY92" s="27" t="n"/>
      <c r="CZ92" s="27" t="n"/>
      <c r="DA92" s="27" t="n"/>
      <c r="DB92" s="27" t="n"/>
      <c r="DC92" s="27" t="n"/>
      <c r="DD92" s="27" t="n"/>
      <c r="DE92" s="27" t="n"/>
      <c r="DF92" s="27" t="n"/>
      <c r="DG92" s="27" t="n"/>
      <c r="DH92" s="27" t="n"/>
      <c r="DI92" s="27" t="n"/>
      <c r="DJ92" s="27" t="n"/>
      <c r="DK92" s="27" t="n"/>
      <c r="DL92" s="27" t="n"/>
      <c r="DM92" s="27" t="n"/>
      <c r="DN92" s="27" t="n"/>
      <c r="DO92" s="27" t="n"/>
      <c r="DP92" s="27" t="n"/>
      <c r="DQ92" s="27" t="n"/>
      <c r="DR92" s="27" t="n"/>
      <c r="DS92" s="27" t="n"/>
      <c r="DT92" s="27" t="n"/>
      <c r="DU92" s="27" t="n"/>
      <c r="DV92" s="27" t="n"/>
      <c r="DW92" s="27" t="n"/>
      <c r="DX92" s="27" t="n"/>
      <c r="DY92" s="27" t="n"/>
      <c r="DZ92" s="27" t="n"/>
      <c r="EA92" s="27" t="n"/>
      <c r="EB92" s="27" t="n"/>
      <c r="EC92" s="27" t="n"/>
      <c r="ED92" s="27" t="n"/>
      <c r="EE92" s="27" t="n"/>
      <c r="EF92" s="27" t="n"/>
      <c r="EG92" s="27" t="n"/>
      <c r="EH92" s="27" t="n"/>
      <c r="EI92" s="27" t="n"/>
      <c r="EJ92" s="27" t="n"/>
      <c r="EK92" s="27" t="n"/>
      <c r="EL92" s="27" t="n"/>
      <c r="EM92" s="27" t="n"/>
      <c r="EN92" s="27" t="n"/>
      <c r="EO92" s="27" t="n"/>
      <c r="EP92" s="27" t="n"/>
      <c r="EQ92" s="27" t="n"/>
      <c r="ER92" s="27" t="n"/>
      <c r="ES92" s="27" t="n"/>
      <c r="ET92" s="27" t="n"/>
      <c r="EU92" s="27" t="n"/>
      <c r="EV92" s="27" t="n"/>
      <c r="EW92" s="27" t="n"/>
      <c r="EX92" s="27" t="n"/>
      <c r="EY92" s="27" t="n"/>
      <c r="EZ92" s="27" t="n"/>
      <c r="FA92" s="27" t="n"/>
      <c r="FB92" s="27" t="n"/>
      <c r="FC92" s="27" t="n"/>
      <c r="FD92" s="27" t="n"/>
      <c r="FE92" s="27" t="n"/>
      <c r="FF92" s="27" t="n"/>
      <c r="FG92" s="27" t="n"/>
      <c r="FH92" s="27" t="n"/>
      <c r="FI92" s="27" t="n"/>
      <c r="FJ92" s="27" t="n"/>
      <c r="FK92" s="27" t="n"/>
      <c r="FL92" s="27" t="n"/>
      <c r="FM92" s="27" t="n"/>
      <c r="FN92" s="27" t="n"/>
      <c r="FO92" s="27" t="n"/>
      <c r="FP92" s="27" t="n"/>
      <c r="FQ92" s="27" t="n"/>
      <c r="FR92" s="27" t="n"/>
      <c r="FS92" s="27" t="n"/>
      <c r="FT92" s="27" t="n"/>
      <c r="FU92" s="27" t="n"/>
      <c r="FV92" s="27" t="n"/>
      <c r="FW92" s="27" t="n"/>
      <c r="FX92" s="27" t="n"/>
      <c r="FY92" s="27" t="n"/>
      <c r="FZ92" s="27" t="n"/>
      <c r="GA92" s="27" t="n"/>
      <c r="GB92" s="27" t="n"/>
      <c r="GC92" s="27" t="n"/>
      <c r="GD92" s="27" t="n"/>
      <c r="GE92" s="27" t="n"/>
      <c r="GF92" s="27" t="n"/>
      <c r="GG92" s="27" t="n"/>
      <c r="GH92" s="27" t="n"/>
      <c r="GI92" s="27" t="n"/>
      <c r="GJ92" s="27" t="n"/>
      <c r="GK92" s="27" t="n"/>
      <c r="GL92" s="27" t="n"/>
      <c r="GM92" s="27" t="n"/>
      <c r="GN92" s="27" t="n"/>
      <c r="GO92" s="27" t="n"/>
      <c r="GP92" s="27" t="n"/>
      <c r="GQ92" s="27" t="n"/>
      <c r="GR92" s="27" t="n"/>
      <c r="GS92" s="27" t="n"/>
      <c r="GT92" s="27" t="n"/>
      <c r="GU92" s="27" t="n"/>
      <c r="GV92" s="27" t="n"/>
      <c r="GW92" s="27" t="n"/>
      <c r="GX92" s="27" t="n"/>
      <c r="GY92" s="27" t="n"/>
      <c r="GZ92" s="27" t="n"/>
      <c r="HA92" s="27" t="n"/>
      <c r="HB92" s="27" t="n"/>
      <c r="HC92" s="27" t="n"/>
      <c r="HD92" s="27" t="n"/>
      <c r="HE92" s="27" t="n"/>
      <c r="HF92" s="27" t="n"/>
      <c r="HG92" s="27" t="n"/>
      <c r="HH92" s="27" t="n"/>
      <c r="HI92" s="27" t="n"/>
      <c r="HJ92" s="27" t="n"/>
      <c r="HK92" s="27" t="n"/>
      <c r="HL92" s="27" t="n"/>
      <c r="HM92" s="27" t="n"/>
      <c r="HN92" s="27" t="n"/>
      <c r="HO92" s="27" t="n"/>
      <c r="HP92" s="27" t="n"/>
      <c r="HQ92" s="27" t="n"/>
      <c r="HR92" s="27" t="n"/>
      <c r="HS92" s="27" t="n"/>
      <c r="HT92" s="27" t="n"/>
      <c r="HU92" s="27" t="n"/>
      <c r="HV92" s="27" t="n"/>
      <c r="HW92" s="27" t="n"/>
      <c r="HX92" s="27" t="n"/>
      <c r="HY92" s="27" t="n"/>
      <c r="HZ92" s="27" t="n"/>
      <c r="IA92" s="27" t="n"/>
      <c r="IB92" s="27" t="n"/>
      <c r="IC92" s="27" t="n"/>
      <c r="ID92" s="27" t="n"/>
      <c r="IE92" s="27" t="n"/>
      <c r="IF92" s="27" t="n"/>
      <c r="IG92" s="27" t="n"/>
      <c r="IH92" s="27" t="n"/>
      <c r="II92" s="27" t="n"/>
      <c r="IJ92" s="27" t="n"/>
      <c r="IK92" s="27" t="n"/>
      <c r="IL92" s="27" t="n"/>
      <c r="IM92" s="27" t="n"/>
      <c r="IN92" s="27" t="n"/>
      <c r="IO92" s="27" t="n"/>
      <c r="IP92" s="27" t="n"/>
      <c r="IQ92" s="27" t="n"/>
      <c r="IR92" s="27" t="n"/>
      <c r="IS92" s="27" t="n"/>
      <c r="IT92" s="27" t="n"/>
      <c r="IU92" s="27" t="n"/>
      <c r="IV92" s="27" t="n"/>
    </row>
    <row r="93" ht="13" customHeight="1" s="195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  <c r="AA93" s="27" t="n"/>
      <c r="AB93" s="27" t="n"/>
      <c r="AC93" s="27" t="n"/>
      <c r="AD93" s="27" t="n"/>
      <c r="AE93" s="27" t="n"/>
      <c r="AF93" s="27" t="n"/>
      <c r="AG93" s="27" t="n"/>
      <c r="AH93" s="27" t="n"/>
      <c r="AI93" s="27" t="n"/>
      <c r="AJ93" s="27" t="n"/>
      <c r="AK93" s="27" t="n"/>
      <c r="AL93" s="27" t="n"/>
      <c r="AM93" s="27" t="n"/>
      <c r="AN93" s="27" t="n"/>
      <c r="AO93" s="27" t="n"/>
      <c r="AP93" s="27" t="n"/>
      <c r="AQ93" s="27" t="n"/>
      <c r="AR93" s="27" t="n"/>
      <c r="AS93" s="27" t="n"/>
      <c r="AT93" s="27" t="n"/>
      <c r="AU93" s="27" t="n"/>
      <c r="AV93" s="27" t="n"/>
      <c r="AW93" s="27" t="n"/>
      <c r="AX93" s="27" t="n"/>
      <c r="AY93" s="27" t="n"/>
      <c r="AZ93" s="27" t="n"/>
      <c r="BA93" s="27" t="n"/>
      <c r="BB93" s="27" t="n"/>
      <c r="BC93" s="27" t="n"/>
      <c r="BD93" s="27" t="n"/>
      <c r="BE93" s="27" t="n"/>
      <c r="BF93" s="27" t="n"/>
      <c r="BG93" s="27" t="n"/>
      <c r="BH93" s="27" t="n"/>
      <c r="BI93" s="27" t="n"/>
      <c r="BJ93" s="27" t="n"/>
      <c r="BK93" s="27" t="n"/>
      <c r="BL93" s="27" t="n"/>
      <c r="BM93" s="27" t="n"/>
      <c r="BN93" s="27" t="n"/>
      <c r="BO93" s="27" t="n"/>
      <c r="BP93" s="27" t="n"/>
      <c r="BQ93" s="27" t="n"/>
      <c r="BR93" s="27" t="n"/>
      <c r="BS93" s="27" t="n"/>
      <c r="BT93" s="27" t="n"/>
      <c r="BU93" s="27" t="n"/>
      <c r="BV93" s="27" t="n"/>
      <c r="BW93" s="27" t="n"/>
      <c r="BX93" s="27" t="n"/>
      <c r="BY93" s="27" t="n"/>
      <c r="BZ93" s="27" t="n"/>
      <c r="CA93" s="27" t="n"/>
      <c r="CB93" s="27" t="n"/>
      <c r="CC93" s="27" t="n"/>
      <c r="CD93" s="27" t="n"/>
      <c r="CE93" s="27" t="n"/>
      <c r="CF93" s="27" t="n"/>
      <c r="CG93" s="27" t="n"/>
      <c r="CH93" s="27" t="n"/>
      <c r="CI93" s="27" t="n"/>
      <c r="CJ93" s="27" t="n"/>
      <c r="CK93" s="27" t="n"/>
      <c r="CL93" s="27" t="n"/>
      <c r="CM93" s="27" t="n"/>
      <c r="CN93" s="27" t="n"/>
      <c r="CO93" s="27" t="n"/>
      <c r="CP93" s="27" t="n"/>
      <c r="CQ93" s="27" t="n"/>
      <c r="CR93" s="27" t="n"/>
      <c r="CS93" s="27" t="n"/>
      <c r="CT93" s="27" t="n"/>
      <c r="CU93" s="27" t="n"/>
      <c r="CV93" s="27" t="n"/>
      <c r="CW93" s="27" t="n"/>
      <c r="CX93" s="27" t="n"/>
      <c r="CY93" s="27" t="n"/>
      <c r="CZ93" s="27" t="n"/>
      <c r="DA93" s="27" t="n"/>
      <c r="DB93" s="27" t="n"/>
      <c r="DC93" s="27" t="n"/>
      <c r="DD93" s="27" t="n"/>
      <c r="DE93" s="27" t="n"/>
      <c r="DF93" s="27" t="n"/>
      <c r="DG93" s="27" t="n"/>
      <c r="DH93" s="27" t="n"/>
      <c r="DI93" s="27" t="n"/>
      <c r="DJ93" s="27" t="n"/>
      <c r="DK93" s="27" t="n"/>
      <c r="DL93" s="27" t="n"/>
      <c r="DM93" s="27" t="n"/>
      <c r="DN93" s="27" t="n"/>
      <c r="DO93" s="27" t="n"/>
      <c r="DP93" s="27" t="n"/>
      <c r="DQ93" s="27" t="n"/>
      <c r="DR93" s="27" t="n"/>
      <c r="DS93" s="27" t="n"/>
      <c r="DT93" s="27" t="n"/>
      <c r="DU93" s="27" t="n"/>
      <c r="DV93" s="27" t="n"/>
      <c r="DW93" s="27" t="n"/>
      <c r="DX93" s="27" t="n"/>
      <c r="DY93" s="27" t="n"/>
      <c r="DZ93" s="27" t="n"/>
      <c r="EA93" s="27" t="n"/>
      <c r="EB93" s="27" t="n"/>
      <c r="EC93" s="27" t="n"/>
      <c r="ED93" s="27" t="n"/>
      <c r="EE93" s="27" t="n"/>
      <c r="EF93" s="27" t="n"/>
      <c r="EG93" s="27" t="n"/>
      <c r="EH93" s="27" t="n"/>
      <c r="EI93" s="27" t="n"/>
      <c r="EJ93" s="27" t="n"/>
      <c r="EK93" s="27" t="n"/>
      <c r="EL93" s="27" t="n"/>
      <c r="EM93" s="27" t="n"/>
      <c r="EN93" s="27" t="n"/>
      <c r="EO93" s="27" t="n"/>
      <c r="EP93" s="27" t="n"/>
      <c r="EQ93" s="27" t="n"/>
      <c r="ER93" s="27" t="n"/>
      <c r="ES93" s="27" t="n"/>
      <c r="ET93" s="27" t="n"/>
      <c r="EU93" s="27" t="n"/>
      <c r="EV93" s="27" t="n"/>
      <c r="EW93" s="27" t="n"/>
      <c r="EX93" s="27" t="n"/>
      <c r="EY93" s="27" t="n"/>
      <c r="EZ93" s="27" t="n"/>
      <c r="FA93" s="27" t="n"/>
      <c r="FB93" s="27" t="n"/>
      <c r="FC93" s="27" t="n"/>
      <c r="FD93" s="27" t="n"/>
      <c r="FE93" s="27" t="n"/>
      <c r="FF93" s="27" t="n"/>
      <c r="FG93" s="27" t="n"/>
      <c r="FH93" s="27" t="n"/>
      <c r="FI93" s="27" t="n"/>
      <c r="FJ93" s="27" t="n"/>
      <c r="FK93" s="27" t="n"/>
      <c r="FL93" s="27" t="n"/>
      <c r="FM93" s="27" t="n"/>
      <c r="FN93" s="27" t="n"/>
      <c r="FO93" s="27" t="n"/>
      <c r="FP93" s="27" t="n"/>
      <c r="FQ93" s="27" t="n"/>
      <c r="FR93" s="27" t="n"/>
      <c r="FS93" s="27" t="n"/>
      <c r="FT93" s="27" t="n"/>
      <c r="FU93" s="27" t="n"/>
      <c r="FV93" s="27" t="n"/>
      <c r="FW93" s="27" t="n"/>
      <c r="FX93" s="27" t="n"/>
      <c r="FY93" s="27" t="n"/>
      <c r="FZ93" s="27" t="n"/>
      <c r="GA93" s="27" t="n"/>
      <c r="GB93" s="27" t="n"/>
      <c r="GC93" s="27" t="n"/>
      <c r="GD93" s="27" t="n"/>
      <c r="GE93" s="27" t="n"/>
      <c r="GF93" s="27" t="n"/>
      <c r="GG93" s="27" t="n"/>
      <c r="GH93" s="27" t="n"/>
      <c r="GI93" s="27" t="n"/>
      <c r="GJ93" s="27" t="n"/>
      <c r="GK93" s="27" t="n"/>
      <c r="GL93" s="27" t="n"/>
      <c r="GM93" s="27" t="n"/>
      <c r="GN93" s="27" t="n"/>
      <c r="GO93" s="27" t="n"/>
      <c r="GP93" s="27" t="n"/>
      <c r="GQ93" s="27" t="n"/>
      <c r="GR93" s="27" t="n"/>
      <c r="GS93" s="27" t="n"/>
      <c r="GT93" s="27" t="n"/>
      <c r="GU93" s="27" t="n"/>
      <c r="GV93" s="27" t="n"/>
      <c r="GW93" s="27" t="n"/>
      <c r="GX93" s="27" t="n"/>
      <c r="GY93" s="27" t="n"/>
      <c r="GZ93" s="27" t="n"/>
      <c r="HA93" s="27" t="n"/>
      <c r="HB93" s="27" t="n"/>
      <c r="HC93" s="27" t="n"/>
      <c r="HD93" s="27" t="n"/>
      <c r="HE93" s="27" t="n"/>
      <c r="HF93" s="27" t="n"/>
      <c r="HG93" s="27" t="n"/>
      <c r="HH93" s="27" t="n"/>
      <c r="HI93" s="27" t="n"/>
      <c r="HJ93" s="27" t="n"/>
      <c r="HK93" s="27" t="n"/>
      <c r="HL93" s="27" t="n"/>
      <c r="HM93" s="27" t="n"/>
      <c r="HN93" s="27" t="n"/>
      <c r="HO93" s="27" t="n"/>
      <c r="HP93" s="27" t="n"/>
      <c r="HQ93" s="27" t="n"/>
      <c r="HR93" s="27" t="n"/>
      <c r="HS93" s="27" t="n"/>
      <c r="HT93" s="27" t="n"/>
      <c r="HU93" s="27" t="n"/>
      <c r="HV93" s="27" t="n"/>
      <c r="HW93" s="27" t="n"/>
      <c r="HX93" s="27" t="n"/>
      <c r="HY93" s="27" t="n"/>
      <c r="HZ93" s="27" t="n"/>
      <c r="IA93" s="27" t="n"/>
      <c r="IB93" s="27" t="n"/>
      <c r="IC93" s="27" t="n"/>
      <c r="ID93" s="27" t="n"/>
      <c r="IE93" s="27" t="n"/>
      <c r="IF93" s="27" t="n"/>
      <c r="IG93" s="27" t="n"/>
      <c r="IH93" s="27" t="n"/>
      <c r="II93" s="27" t="n"/>
      <c r="IJ93" s="27" t="n"/>
      <c r="IK93" s="27" t="n"/>
      <c r="IL93" s="27" t="n"/>
      <c r="IM93" s="27" t="n"/>
      <c r="IN93" s="27" t="n"/>
      <c r="IO93" s="27" t="n"/>
      <c r="IP93" s="27" t="n"/>
      <c r="IQ93" s="27" t="n"/>
      <c r="IR93" s="27" t="n"/>
      <c r="IS93" s="27" t="n"/>
      <c r="IT93" s="27" t="n"/>
      <c r="IU93" s="27" t="n"/>
      <c r="IV93" s="27" t="n"/>
    </row>
    <row r="94" ht="13" customHeight="1" s="195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  <c r="AA94" s="27" t="n"/>
      <c r="AB94" s="27" t="n"/>
      <c r="AC94" s="27" t="n"/>
      <c r="AD94" s="27" t="n"/>
      <c r="AE94" s="27" t="n"/>
      <c r="AF94" s="27" t="n"/>
      <c r="AG94" s="27" t="n"/>
      <c r="AH94" s="27" t="n"/>
      <c r="AI94" s="27" t="n"/>
      <c r="AJ94" s="27" t="n"/>
      <c r="AK94" s="27" t="n"/>
      <c r="AL94" s="27" t="n"/>
      <c r="AM94" s="27" t="n"/>
      <c r="AN94" s="27" t="n"/>
      <c r="AO94" s="27" t="n"/>
      <c r="AP94" s="27" t="n"/>
      <c r="AQ94" s="27" t="n"/>
      <c r="AR94" s="27" t="n"/>
      <c r="AS94" s="27" t="n"/>
      <c r="AT94" s="27" t="n"/>
      <c r="AU94" s="27" t="n"/>
      <c r="AV94" s="27" t="n"/>
      <c r="AW94" s="27" t="n"/>
      <c r="AX94" s="27" t="n"/>
      <c r="AY94" s="27" t="n"/>
      <c r="AZ94" s="27" t="n"/>
      <c r="BA94" s="27" t="n"/>
      <c r="BB94" s="27" t="n"/>
      <c r="BC94" s="27" t="n"/>
      <c r="BD94" s="27" t="n"/>
      <c r="BE94" s="27" t="n"/>
      <c r="BF94" s="27" t="n"/>
      <c r="BG94" s="27" t="n"/>
      <c r="BH94" s="27" t="n"/>
      <c r="BI94" s="27" t="n"/>
      <c r="BJ94" s="27" t="n"/>
      <c r="BK94" s="27" t="n"/>
      <c r="BL94" s="27" t="n"/>
      <c r="BM94" s="27" t="n"/>
      <c r="BN94" s="27" t="n"/>
      <c r="BO94" s="27" t="n"/>
      <c r="BP94" s="27" t="n"/>
      <c r="BQ94" s="27" t="n"/>
      <c r="BR94" s="27" t="n"/>
      <c r="BS94" s="27" t="n"/>
      <c r="BT94" s="27" t="n"/>
      <c r="BU94" s="27" t="n"/>
      <c r="BV94" s="27" t="n"/>
      <c r="BW94" s="27" t="n"/>
      <c r="BX94" s="27" t="n"/>
      <c r="BY94" s="27" t="n"/>
      <c r="BZ94" s="27" t="n"/>
      <c r="CA94" s="27" t="n"/>
      <c r="CB94" s="27" t="n"/>
      <c r="CC94" s="27" t="n"/>
      <c r="CD94" s="27" t="n"/>
      <c r="CE94" s="27" t="n"/>
      <c r="CF94" s="27" t="n"/>
      <c r="CG94" s="27" t="n"/>
      <c r="CH94" s="27" t="n"/>
      <c r="CI94" s="27" t="n"/>
      <c r="CJ94" s="27" t="n"/>
      <c r="CK94" s="27" t="n"/>
      <c r="CL94" s="27" t="n"/>
      <c r="CM94" s="27" t="n"/>
      <c r="CN94" s="27" t="n"/>
      <c r="CO94" s="27" t="n"/>
      <c r="CP94" s="27" t="n"/>
      <c r="CQ94" s="27" t="n"/>
      <c r="CR94" s="27" t="n"/>
      <c r="CS94" s="27" t="n"/>
      <c r="CT94" s="27" t="n"/>
      <c r="CU94" s="27" t="n"/>
      <c r="CV94" s="27" t="n"/>
      <c r="CW94" s="27" t="n"/>
      <c r="CX94" s="27" t="n"/>
      <c r="CY94" s="27" t="n"/>
      <c r="CZ94" s="27" t="n"/>
      <c r="DA94" s="27" t="n"/>
      <c r="DB94" s="27" t="n"/>
      <c r="DC94" s="27" t="n"/>
      <c r="DD94" s="27" t="n"/>
      <c r="DE94" s="27" t="n"/>
      <c r="DF94" s="27" t="n"/>
      <c r="DG94" s="27" t="n"/>
      <c r="DH94" s="27" t="n"/>
      <c r="DI94" s="27" t="n"/>
      <c r="DJ94" s="27" t="n"/>
      <c r="DK94" s="27" t="n"/>
      <c r="DL94" s="27" t="n"/>
      <c r="DM94" s="27" t="n"/>
      <c r="DN94" s="27" t="n"/>
      <c r="DO94" s="27" t="n"/>
      <c r="DP94" s="27" t="n"/>
      <c r="DQ94" s="27" t="n"/>
      <c r="DR94" s="27" t="n"/>
      <c r="DS94" s="27" t="n"/>
      <c r="DT94" s="27" t="n"/>
      <c r="DU94" s="27" t="n"/>
      <c r="DV94" s="27" t="n"/>
      <c r="DW94" s="27" t="n"/>
      <c r="DX94" s="27" t="n"/>
      <c r="DY94" s="27" t="n"/>
      <c r="DZ94" s="27" t="n"/>
      <c r="EA94" s="27" t="n"/>
      <c r="EB94" s="27" t="n"/>
      <c r="EC94" s="27" t="n"/>
      <c r="ED94" s="27" t="n"/>
      <c r="EE94" s="27" t="n"/>
      <c r="EF94" s="27" t="n"/>
      <c r="EG94" s="27" t="n"/>
      <c r="EH94" s="27" t="n"/>
      <c r="EI94" s="27" t="n"/>
      <c r="EJ94" s="27" t="n"/>
      <c r="EK94" s="27" t="n"/>
      <c r="EL94" s="27" t="n"/>
      <c r="EM94" s="27" t="n"/>
      <c r="EN94" s="27" t="n"/>
      <c r="EO94" s="27" t="n"/>
      <c r="EP94" s="27" t="n"/>
      <c r="EQ94" s="27" t="n"/>
      <c r="ER94" s="27" t="n"/>
      <c r="ES94" s="27" t="n"/>
      <c r="ET94" s="27" t="n"/>
      <c r="EU94" s="27" t="n"/>
      <c r="EV94" s="27" t="n"/>
      <c r="EW94" s="27" t="n"/>
      <c r="EX94" s="27" t="n"/>
      <c r="EY94" s="27" t="n"/>
      <c r="EZ94" s="27" t="n"/>
      <c r="FA94" s="27" t="n"/>
      <c r="FB94" s="27" t="n"/>
      <c r="FC94" s="27" t="n"/>
      <c r="FD94" s="27" t="n"/>
      <c r="FE94" s="27" t="n"/>
      <c r="FF94" s="27" t="n"/>
      <c r="FG94" s="27" t="n"/>
      <c r="FH94" s="27" t="n"/>
      <c r="FI94" s="27" t="n"/>
      <c r="FJ94" s="27" t="n"/>
      <c r="FK94" s="27" t="n"/>
      <c r="FL94" s="27" t="n"/>
      <c r="FM94" s="27" t="n"/>
      <c r="FN94" s="27" t="n"/>
      <c r="FO94" s="27" t="n"/>
      <c r="FP94" s="27" t="n"/>
      <c r="FQ94" s="27" t="n"/>
      <c r="FR94" s="27" t="n"/>
      <c r="FS94" s="27" t="n"/>
      <c r="FT94" s="27" t="n"/>
      <c r="FU94" s="27" t="n"/>
      <c r="FV94" s="27" t="n"/>
      <c r="FW94" s="27" t="n"/>
      <c r="FX94" s="27" t="n"/>
      <c r="FY94" s="27" t="n"/>
      <c r="FZ94" s="27" t="n"/>
      <c r="GA94" s="27" t="n"/>
      <c r="GB94" s="27" t="n"/>
      <c r="GC94" s="27" t="n"/>
      <c r="GD94" s="27" t="n"/>
      <c r="GE94" s="27" t="n"/>
      <c r="GF94" s="27" t="n"/>
      <c r="GG94" s="27" t="n"/>
      <c r="GH94" s="27" t="n"/>
      <c r="GI94" s="27" t="n"/>
      <c r="GJ94" s="27" t="n"/>
      <c r="GK94" s="27" t="n"/>
      <c r="GL94" s="27" t="n"/>
      <c r="GM94" s="27" t="n"/>
      <c r="GN94" s="27" t="n"/>
      <c r="GO94" s="27" t="n"/>
      <c r="GP94" s="27" t="n"/>
      <c r="GQ94" s="27" t="n"/>
      <c r="GR94" s="27" t="n"/>
      <c r="GS94" s="27" t="n"/>
      <c r="GT94" s="27" t="n"/>
      <c r="GU94" s="27" t="n"/>
      <c r="GV94" s="27" t="n"/>
      <c r="GW94" s="27" t="n"/>
      <c r="GX94" s="27" t="n"/>
      <c r="GY94" s="27" t="n"/>
      <c r="GZ94" s="27" t="n"/>
      <c r="HA94" s="27" t="n"/>
      <c r="HB94" s="27" t="n"/>
      <c r="HC94" s="27" t="n"/>
      <c r="HD94" s="27" t="n"/>
      <c r="HE94" s="27" t="n"/>
      <c r="HF94" s="27" t="n"/>
      <c r="HG94" s="27" t="n"/>
      <c r="HH94" s="27" t="n"/>
      <c r="HI94" s="27" t="n"/>
      <c r="HJ94" s="27" t="n"/>
      <c r="HK94" s="27" t="n"/>
      <c r="HL94" s="27" t="n"/>
      <c r="HM94" s="27" t="n"/>
      <c r="HN94" s="27" t="n"/>
      <c r="HO94" s="27" t="n"/>
      <c r="HP94" s="27" t="n"/>
      <c r="HQ94" s="27" t="n"/>
      <c r="HR94" s="27" t="n"/>
      <c r="HS94" s="27" t="n"/>
      <c r="HT94" s="27" t="n"/>
      <c r="HU94" s="27" t="n"/>
      <c r="HV94" s="27" t="n"/>
      <c r="HW94" s="27" t="n"/>
      <c r="HX94" s="27" t="n"/>
      <c r="HY94" s="27" t="n"/>
      <c r="HZ94" s="27" t="n"/>
      <c r="IA94" s="27" t="n"/>
      <c r="IB94" s="27" t="n"/>
      <c r="IC94" s="27" t="n"/>
      <c r="ID94" s="27" t="n"/>
      <c r="IE94" s="27" t="n"/>
      <c r="IF94" s="27" t="n"/>
      <c r="IG94" s="27" t="n"/>
      <c r="IH94" s="27" t="n"/>
      <c r="II94" s="27" t="n"/>
      <c r="IJ94" s="27" t="n"/>
      <c r="IK94" s="27" t="n"/>
      <c r="IL94" s="27" t="n"/>
      <c r="IM94" s="27" t="n"/>
      <c r="IN94" s="27" t="n"/>
      <c r="IO94" s="27" t="n"/>
      <c r="IP94" s="27" t="n"/>
      <c r="IQ94" s="27" t="n"/>
      <c r="IR94" s="27" t="n"/>
      <c r="IS94" s="27" t="n"/>
      <c r="IT94" s="27" t="n"/>
      <c r="IU94" s="27" t="n"/>
      <c r="IV94" s="27" t="n"/>
    </row>
    <row r="95" ht="13" customHeight="1" s="195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  <c r="AA95" s="27" t="n"/>
      <c r="AB95" s="27" t="n"/>
      <c r="AC95" s="27" t="n"/>
      <c r="AD95" s="27" t="n"/>
      <c r="AE95" s="27" t="n"/>
      <c r="AF95" s="27" t="n"/>
      <c r="AG95" s="27" t="n"/>
      <c r="AH95" s="27" t="n"/>
      <c r="AI95" s="27" t="n"/>
      <c r="AJ95" s="27" t="n"/>
      <c r="AK95" s="27" t="n"/>
      <c r="AL95" s="27" t="n"/>
      <c r="AM95" s="27" t="n"/>
      <c r="AN95" s="27" t="n"/>
      <c r="AO95" s="27" t="n"/>
      <c r="AP95" s="27" t="n"/>
      <c r="AQ95" s="27" t="n"/>
      <c r="AR95" s="27" t="n"/>
      <c r="AS95" s="27" t="n"/>
      <c r="AT95" s="27" t="n"/>
      <c r="AU95" s="27" t="n"/>
      <c r="AV95" s="27" t="n"/>
      <c r="AW95" s="27" t="n"/>
      <c r="AX95" s="27" t="n"/>
      <c r="AY95" s="27" t="n"/>
      <c r="AZ95" s="27" t="n"/>
      <c r="BA95" s="27" t="n"/>
      <c r="BB95" s="27" t="n"/>
      <c r="BC95" s="27" t="n"/>
      <c r="BD95" s="27" t="n"/>
      <c r="BE95" s="27" t="n"/>
      <c r="BF95" s="27" t="n"/>
      <c r="BG95" s="27" t="n"/>
      <c r="BH95" s="27" t="n"/>
      <c r="BI95" s="27" t="n"/>
      <c r="BJ95" s="27" t="n"/>
      <c r="BK95" s="27" t="n"/>
      <c r="BL95" s="27" t="n"/>
      <c r="BM95" s="27" t="n"/>
      <c r="BN95" s="27" t="n"/>
      <c r="BO95" s="27" t="n"/>
      <c r="BP95" s="27" t="n"/>
      <c r="BQ95" s="27" t="n"/>
      <c r="BR95" s="27" t="n"/>
      <c r="BS95" s="27" t="n"/>
      <c r="BT95" s="27" t="n"/>
      <c r="BU95" s="27" t="n"/>
      <c r="BV95" s="27" t="n"/>
      <c r="BW95" s="27" t="n"/>
      <c r="BX95" s="27" t="n"/>
      <c r="BY95" s="27" t="n"/>
      <c r="BZ95" s="27" t="n"/>
      <c r="CA95" s="27" t="n"/>
      <c r="CB95" s="27" t="n"/>
      <c r="CC95" s="27" t="n"/>
      <c r="CD95" s="27" t="n"/>
      <c r="CE95" s="27" t="n"/>
      <c r="CF95" s="27" t="n"/>
      <c r="CG95" s="27" t="n"/>
      <c r="CH95" s="27" t="n"/>
      <c r="CI95" s="27" t="n"/>
      <c r="CJ95" s="27" t="n"/>
      <c r="CK95" s="27" t="n"/>
      <c r="CL95" s="27" t="n"/>
      <c r="CM95" s="27" t="n"/>
      <c r="CN95" s="27" t="n"/>
      <c r="CO95" s="27" t="n"/>
      <c r="CP95" s="27" t="n"/>
      <c r="CQ95" s="27" t="n"/>
      <c r="CR95" s="27" t="n"/>
      <c r="CS95" s="27" t="n"/>
      <c r="CT95" s="27" t="n"/>
      <c r="CU95" s="27" t="n"/>
      <c r="CV95" s="27" t="n"/>
      <c r="CW95" s="27" t="n"/>
      <c r="CX95" s="27" t="n"/>
      <c r="CY95" s="27" t="n"/>
      <c r="CZ95" s="27" t="n"/>
      <c r="DA95" s="27" t="n"/>
      <c r="DB95" s="27" t="n"/>
      <c r="DC95" s="27" t="n"/>
      <c r="DD95" s="27" t="n"/>
      <c r="DE95" s="27" t="n"/>
      <c r="DF95" s="27" t="n"/>
      <c r="DG95" s="27" t="n"/>
      <c r="DH95" s="27" t="n"/>
      <c r="DI95" s="27" t="n"/>
      <c r="DJ95" s="27" t="n"/>
      <c r="DK95" s="27" t="n"/>
      <c r="DL95" s="27" t="n"/>
      <c r="DM95" s="27" t="n"/>
      <c r="DN95" s="27" t="n"/>
      <c r="DO95" s="27" t="n"/>
      <c r="DP95" s="27" t="n"/>
      <c r="DQ95" s="27" t="n"/>
      <c r="DR95" s="27" t="n"/>
      <c r="DS95" s="27" t="n"/>
      <c r="DT95" s="27" t="n"/>
      <c r="DU95" s="27" t="n"/>
      <c r="DV95" s="27" t="n"/>
      <c r="DW95" s="27" t="n"/>
      <c r="DX95" s="27" t="n"/>
      <c r="DY95" s="27" t="n"/>
      <c r="DZ95" s="27" t="n"/>
      <c r="EA95" s="27" t="n"/>
      <c r="EB95" s="27" t="n"/>
      <c r="EC95" s="27" t="n"/>
      <c r="ED95" s="27" t="n"/>
      <c r="EE95" s="27" t="n"/>
      <c r="EF95" s="27" t="n"/>
      <c r="EG95" s="27" t="n"/>
      <c r="EH95" s="27" t="n"/>
      <c r="EI95" s="27" t="n"/>
      <c r="EJ95" s="27" t="n"/>
      <c r="EK95" s="27" t="n"/>
      <c r="EL95" s="27" t="n"/>
      <c r="EM95" s="27" t="n"/>
      <c r="EN95" s="27" t="n"/>
      <c r="EO95" s="27" t="n"/>
      <c r="EP95" s="27" t="n"/>
      <c r="EQ95" s="27" t="n"/>
      <c r="ER95" s="27" t="n"/>
      <c r="ES95" s="27" t="n"/>
      <c r="ET95" s="27" t="n"/>
      <c r="EU95" s="27" t="n"/>
      <c r="EV95" s="27" t="n"/>
      <c r="EW95" s="27" t="n"/>
      <c r="EX95" s="27" t="n"/>
      <c r="EY95" s="27" t="n"/>
      <c r="EZ95" s="27" t="n"/>
      <c r="FA95" s="27" t="n"/>
      <c r="FB95" s="27" t="n"/>
      <c r="FC95" s="27" t="n"/>
      <c r="FD95" s="27" t="n"/>
      <c r="FE95" s="27" t="n"/>
      <c r="FF95" s="27" t="n"/>
      <c r="FG95" s="27" t="n"/>
      <c r="FH95" s="27" t="n"/>
      <c r="FI95" s="27" t="n"/>
      <c r="FJ95" s="27" t="n"/>
      <c r="FK95" s="27" t="n"/>
      <c r="FL95" s="27" t="n"/>
      <c r="FM95" s="27" t="n"/>
      <c r="FN95" s="27" t="n"/>
      <c r="FO95" s="27" t="n"/>
      <c r="FP95" s="27" t="n"/>
      <c r="FQ95" s="27" t="n"/>
      <c r="FR95" s="27" t="n"/>
      <c r="FS95" s="27" t="n"/>
      <c r="FT95" s="27" t="n"/>
      <c r="FU95" s="27" t="n"/>
      <c r="FV95" s="27" t="n"/>
      <c r="FW95" s="27" t="n"/>
      <c r="FX95" s="27" t="n"/>
      <c r="FY95" s="27" t="n"/>
      <c r="FZ95" s="27" t="n"/>
      <c r="GA95" s="27" t="n"/>
      <c r="GB95" s="27" t="n"/>
      <c r="GC95" s="27" t="n"/>
      <c r="GD95" s="27" t="n"/>
      <c r="GE95" s="27" t="n"/>
      <c r="GF95" s="27" t="n"/>
      <c r="GG95" s="27" t="n"/>
      <c r="GH95" s="27" t="n"/>
      <c r="GI95" s="27" t="n"/>
      <c r="GJ95" s="27" t="n"/>
      <c r="GK95" s="27" t="n"/>
      <c r="GL95" s="27" t="n"/>
      <c r="GM95" s="27" t="n"/>
      <c r="GN95" s="27" t="n"/>
      <c r="GO95" s="27" t="n"/>
      <c r="GP95" s="27" t="n"/>
      <c r="GQ95" s="27" t="n"/>
      <c r="GR95" s="27" t="n"/>
      <c r="GS95" s="27" t="n"/>
      <c r="GT95" s="27" t="n"/>
      <c r="GU95" s="27" t="n"/>
      <c r="GV95" s="27" t="n"/>
      <c r="GW95" s="27" t="n"/>
      <c r="GX95" s="27" t="n"/>
      <c r="GY95" s="27" t="n"/>
      <c r="GZ95" s="27" t="n"/>
      <c r="HA95" s="27" t="n"/>
      <c r="HB95" s="27" t="n"/>
      <c r="HC95" s="27" t="n"/>
      <c r="HD95" s="27" t="n"/>
      <c r="HE95" s="27" t="n"/>
      <c r="HF95" s="27" t="n"/>
      <c r="HG95" s="27" t="n"/>
      <c r="HH95" s="27" t="n"/>
      <c r="HI95" s="27" t="n"/>
      <c r="HJ95" s="27" t="n"/>
      <c r="HK95" s="27" t="n"/>
      <c r="HL95" s="27" t="n"/>
      <c r="HM95" s="27" t="n"/>
      <c r="HN95" s="27" t="n"/>
      <c r="HO95" s="27" t="n"/>
      <c r="HP95" s="27" t="n"/>
      <c r="HQ95" s="27" t="n"/>
      <c r="HR95" s="27" t="n"/>
      <c r="HS95" s="27" t="n"/>
      <c r="HT95" s="27" t="n"/>
      <c r="HU95" s="27" t="n"/>
      <c r="HV95" s="27" t="n"/>
      <c r="HW95" s="27" t="n"/>
      <c r="HX95" s="27" t="n"/>
      <c r="HY95" s="27" t="n"/>
      <c r="HZ95" s="27" t="n"/>
      <c r="IA95" s="27" t="n"/>
      <c r="IB95" s="27" t="n"/>
      <c r="IC95" s="27" t="n"/>
      <c r="ID95" s="27" t="n"/>
      <c r="IE95" s="27" t="n"/>
      <c r="IF95" s="27" t="n"/>
      <c r="IG95" s="27" t="n"/>
      <c r="IH95" s="27" t="n"/>
      <c r="II95" s="27" t="n"/>
      <c r="IJ95" s="27" t="n"/>
      <c r="IK95" s="27" t="n"/>
      <c r="IL95" s="27" t="n"/>
      <c r="IM95" s="27" t="n"/>
      <c r="IN95" s="27" t="n"/>
      <c r="IO95" s="27" t="n"/>
      <c r="IP95" s="27" t="n"/>
      <c r="IQ95" s="27" t="n"/>
      <c r="IR95" s="27" t="n"/>
      <c r="IS95" s="27" t="n"/>
      <c r="IT95" s="27" t="n"/>
      <c r="IU95" s="27" t="n"/>
      <c r="IV95" s="27" t="n"/>
    </row>
    <row r="96" ht="13" customHeight="1" s="195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  <c r="BU96" s="27" t="n"/>
      <c r="BV96" s="27" t="n"/>
      <c r="BW96" s="27" t="n"/>
      <c r="BX96" s="27" t="n"/>
      <c r="BY96" s="27" t="n"/>
      <c r="BZ96" s="27" t="n"/>
      <c r="CA96" s="27" t="n"/>
      <c r="CB96" s="27" t="n"/>
      <c r="CC96" s="27" t="n"/>
      <c r="CD96" s="27" t="n"/>
      <c r="CE96" s="27" t="n"/>
      <c r="CF96" s="27" t="n"/>
      <c r="CG96" s="27" t="n"/>
      <c r="CH96" s="27" t="n"/>
      <c r="CI96" s="27" t="n"/>
      <c r="CJ96" s="27" t="n"/>
      <c r="CK96" s="27" t="n"/>
      <c r="CL96" s="27" t="n"/>
      <c r="CM96" s="27" t="n"/>
      <c r="CN96" s="27" t="n"/>
      <c r="CO96" s="27" t="n"/>
      <c r="CP96" s="27" t="n"/>
      <c r="CQ96" s="27" t="n"/>
      <c r="CR96" s="27" t="n"/>
      <c r="CS96" s="27" t="n"/>
      <c r="CT96" s="27" t="n"/>
      <c r="CU96" s="27" t="n"/>
      <c r="CV96" s="27" t="n"/>
      <c r="CW96" s="27" t="n"/>
      <c r="CX96" s="27" t="n"/>
      <c r="CY96" s="27" t="n"/>
      <c r="CZ96" s="27" t="n"/>
      <c r="DA96" s="27" t="n"/>
      <c r="DB96" s="27" t="n"/>
      <c r="DC96" s="27" t="n"/>
      <c r="DD96" s="27" t="n"/>
      <c r="DE96" s="27" t="n"/>
      <c r="DF96" s="27" t="n"/>
      <c r="DG96" s="27" t="n"/>
      <c r="DH96" s="27" t="n"/>
      <c r="DI96" s="27" t="n"/>
      <c r="DJ96" s="27" t="n"/>
      <c r="DK96" s="27" t="n"/>
      <c r="DL96" s="27" t="n"/>
      <c r="DM96" s="27" t="n"/>
      <c r="DN96" s="27" t="n"/>
      <c r="DO96" s="27" t="n"/>
      <c r="DP96" s="27" t="n"/>
      <c r="DQ96" s="27" t="n"/>
      <c r="DR96" s="27" t="n"/>
      <c r="DS96" s="27" t="n"/>
      <c r="DT96" s="27" t="n"/>
      <c r="DU96" s="27" t="n"/>
      <c r="DV96" s="27" t="n"/>
      <c r="DW96" s="27" t="n"/>
      <c r="DX96" s="27" t="n"/>
      <c r="DY96" s="27" t="n"/>
      <c r="DZ96" s="27" t="n"/>
      <c r="EA96" s="27" t="n"/>
      <c r="EB96" s="27" t="n"/>
      <c r="EC96" s="27" t="n"/>
      <c r="ED96" s="27" t="n"/>
      <c r="EE96" s="27" t="n"/>
      <c r="EF96" s="27" t="n"/>
      <c r="EG96" s="27" t="n"/>
      <c r="EH96" s="27" t="n"/>
      <c r="EI96" s="27" t="n"/>
      <c r="EJ96" s="27" t="n"/>
      <c r="EK96" s="27" t="n"/>
      <c r="EL96" s="27" t="n"/>
      <c r="EM96" s="27" t="n"/>
      <c r="EN96" s="27" t="n"/>
      <c r="EO96" s="27" t="n"/>
      <c r="EP96" s="27" t="n"/>
      <c r="EQ96" s="27" t="n"/>
      <c r="ER96" s="27" t="n"/>
      <c r="ES96" s="27" t="n"/>
      <c r="ET96" s="27" t="n"/>
      <c r="EU96" s="27" t="n"/>
      <c r="EV96" s="27" t="n"/>
      <c r="EW96" s="27" t="n"/>
      <c r="EX96" s="27" t="n"/>
      <c r="EY96" s="27" t="n"/>
      <c r="EZ96" s="27" t="n"/>
      <c r="FA96" s="27" t="n"/>
      <c r="FB96" s="27" t="n"/>
      <c r="FC96" s="27" t="n"/>
      <c r="FD96" s="27" t="n"/>
      <c r="FE96" s="27" t="n"/>
      <c r="FF96" s="27" t="n"/>
      <c r="FG96" s="27" t="n"/>
      <c r="FH96" s="27" t="n"/>
      <c r="FI96" s="27" t="n"/>
      <c r="FJ96" s="27" t="n"/>
      <c r="FK96" s="27" t="n"/>
      <c r="FL96" s="27" t="n"/>
      <c r="FM96" s="27" t="n"/>
      <c r="FN96" s="27" t="n"/>
      <c r="FO96" s="27" t="n"/>
      <c r="FP96" s="27" t="n"/>
      <c r="FQ96" s="27" t="n"/>
      <c r="FR96" s="27" t="n"/>
      <c r="FS96" s="27" t="n"/>
      <c r="FT96" s="27" t="n"/>
      <c r="FU96" s="27" t="n"/>
      <c r="FV96" s="27" t="n"/>
      <c r="FW96" s="27" t="n"/>
      <c r="FX96" s="27" t="n"/>
      <c r="FY96" s="27" t="n"/>
      <c r="FZ96" s="27" t="n"/>
      <c r="GA96" s="27" t="n"/>
      <c r="GB96" s="27" t="n"/>
      <c r="GC96" s="27" t="n"/>
      <c r="GD96" s="27" t="n"/>
      <c r="GE96" s="27" t="n"/>
      <c r="GF96" s="27" t="n"/>
      <c r="GG96" s="27" t="n"/>
      <c r="GH96" s="27" t="n"/>
      <c r="GI96" s="27" t="n"/>
      <c r="GJ96" s="27" t="n"/>
      <c r="GK96" s="27" t="n"/>
      <c r="GL96" s="27" t="n"/>
      <c r="GM96" s="27" t="n"/>
      <c r="GN96" s="27" t="n"/>
      <c r="GO96" s="27" t="n"/>
      <c r="GP96" s="27" t="n"/>
      <c r="GQ96" s="27" t="n"/>
      <c r="GR96" s="27" t="n"/>
      <c r="GS96" s="27" t="n"/>
      <c r="GT96" s="27" t="n"/>
      <c r="GU96" s="27" t="n"/>
      <c r="GV96" s="27" t="n"/>
      <c r="GW96" s="27" t="n"/>
      <c r="GX96" s="27" t="n"/>
      <c r="GY96" s="27" t="n"/>
      <c r="GZ96" s="27" t="n"/>
      <c r="HA96" s="27" t="n"/>
      <c r="HB96" s="27" t="n"/>
      <c r="HC96" s="27" t="n"/>
      <c r="HD96" s="27" t="n"/>
      <c r="HE96" s="27" t="n"/>
      <c r="HF96" s="27" t="n"/>
      <c r="HG96" s="27" t="n"/>
      <c r="HH96" s="27" t="n"/>
      <c r="HI96" s="27" t="n"/>
      <c r="HJ96" s="27" t="n"/>
      <c r="HK96" s="27" t="n"/>
      <c r="HL96" s="27" t="n"/>
      <c r="HM96" s="27" t="n"/>
      <c r="HN96" s="27" t="n"/>
      <c r="HO96" s="27" t="n"/>
      <c r="HP96" s="27" t="n"/>
      <c r="HQ96" s="27" t="n"/>
      <c r="HR96" s="27" t="n"/>
      <c r="HS96" s="27" t="n"/>
      <c r="HT96" s="27" t="n"/>
      <c r="HU96" s="27" t="n"/>
      <c r="HV96" s="27" t="n"/>
      <c r="HW96" s="27" t="n"/>
      <c r="HX96" s="27" t="n"/>
      <c r="HY96" s="27" t="n"/>
      <c r="HZ96" s="27" t="n"/>
      <c r="IA96" s="27" t="n"/>
      <c r="IB96" s="27" t="n"/>
      <c r="IC96" s="27" t="n"/>
      <c r="ID96" s="27" t="n"/>
      <c r="IE96" s="27" t="n"/>
      <c r="IF96" s="27" t="n"/>
      <c r="IG96" s="27" t="n"/>
      <c r="IH96" s="27" t="n"/>
      <c r="II96" s="27" t="n"/>
      <c r="IJ96" s="27" t="n"/>
      <c r="IK96" s="27" t="n"/>
      <c r="IL96" s="27" t="n"/>
      <c r="IM96" s="27" t="n"/>
      <c r="IN96" s="27" t="n"/>
      <c r="IO96" s="27" t="n"/>
      <c r="IP96" s="27" t="n"/>
      <c r="IQ96" s="27" t="n"/>
      <c r="IR96" s="27" t="n"/>
      <c r="IS96" s="27" t="n"/>
      <c r="IT96" s="27" t="n"/>
      <c r="IU96" s="27" t="n"/>
      <c r="IV96" s="27" t="n"/>
    </row>
    <row r="97" ht="13" customHeight="1" s="195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  <c r="AA97" s="27" t="n"/>
      <c r="AB97" s="27" t="n"/>
      <c r="AC97" s="27" t="n"/>
      <c r="AD97" s="27" t="n"/>
      <c r="AE97" s="27" t="n"/>
      <c r="AF97" s="27" t="n"/>
      <c r="AG97" s="27" t="n"/>
      <c r="AH97" s="27" t="n"/>
      <c r="AI97" s="27" t="n"/>
      <c r="AJ97" s="27" t="n"/>
      <c r="AK97" s="27" t="n"/>
      <c r="AL97" s="27" t="n"/>
      <c r="AM97" s="27" t="n"/>
      <c r="AN97" s="27" t="n"/>
      <c r="AO97" s="27" t="n"/>
      <c r="AP97" s="27" t="n"/>
      <c r="AQ97" s="27" t="n"/>
      <c r="AR97" s="27" t="n"/>
      <c r="AS97" s="27" t="n"/>
      <c r="AT97" s="27" t="n"/>
      <c r="AU97" s="27" t="n"/>
      <c r="AV97" s="27" t="n"/>
      <c r="AW97" s="27" t="n"/>
      <c r="AX97" s="27" t="n"/>
      <c r="AY97" s="27" t="n"/>
      <c r="AZ97" s="27" t="n"/>
      <c r="BA97" s="27" t="n"/>
      <c r="BB97" s="27" t="n"/>
      <c r="BC97" s="27" t="n"/>
      <c r="BD97" s="27" t="n"/>
      <c r="BE97" s="27" t="n"/>
      <c r="BF97" s="27" t="n"/>
      <c r="BG97" s="27" t="n"/>
      <c r="BH97" s="27" t="n"/>
      <c r="BI97" s="27" t="n"/>
      <c r="BJ97" s="27" t="n"/>
      <c r="BK97" s="27" t="n"/>
      <c r="BL97" s="27" t="n"/>
      <c r="BM97" s="27" t="n"/>
      <c r="BN97" s="27" t="n"/>
      <c r="BO97" s="27" t="n"/>
      <c r="BP97" s="27" t="n"/>
      <c r="BQ97" s="27" t="n"/>
      <c r="BR97" s="27" t="n"/>
      <c r="BS97" s="27" t="n"/>
      <c r="BT97" s="27" t="n"/>
      <c r="BU97" s="27" t="n"/>
      <c r="BV97" s="27" t="n"/>
      <c r="BW97" s="27" t="n"/>
      <c r="BX97" s="27" t="n"/>
      <c r="BY97" s="27" t="n"/>
      <c r="BZ97" s="27" t="n"/>
      <c r="CA97" s="27" t="n"/>
      <c r="CB97" s="27" t="n"/>
      <c r="CC97" s="27" t="n"/>
      <c r="CD97" s="27" t="n"/>
      <c r="CE97" s="27" t="n"/>
      <c r="CF97" s="27" t="n"/>
      <c r="CG97" s="27" t="n"/>
      <c r="CH97" s="27" t="n"/>
      <c r="CI97" s="27" t="n"/>
      <c r="CJ97" s="27" t="n"/>
      <c r="CK97" s="27" t="n"/>
      <c r="CL97" s="27" t="n"/>
      <c r="CM97" s="27" t="n"/>
      <c r="CN97" s="27" t="n"/>
      <c r="CO97" s="27" t="n"/>
      <c r="CP97" s="27" t="n"/>
      <c r="CQ97" s="27" t="n"/>
      <c r="CR97" s="27" t="n"/>
      <c r="CS97" s="27" t="n"/>
      <c r="CT97" s="27" t="n"/>
      <c r="CU97" s="27" t="n"/>
      <c r="CV97" s="27" t="n"/>
      <c r="CW97" s="27" t="n"/>
      <c r="CX97" s="27" t="n"/>
      <c r="CY97" s="27" t="n"/>
      <c r="CZ97" s="27" t="n"/>
      <c r="DA97" s="27" t="n"/>
      <c r="DB97" s="27" t="n"/>
      <c r="DC97" s="27" t="n"/>
      <c r="DD97" s="27" t="n"/>
      <c r="DE97" s="27" t="n"/>
      <c r="DF97" s="27" t="n"/>
      <c r="DG97" s="27" t="n"/>
      <c r="DH97" s="27" t="n"/>
      <c r="DI97" s="27" t="n"/>
      <c r="DJ97" s="27" t="n"/>
      <c r="DK97" s="27" t="n"/>
      <c r="DL97" s="27" t="n"/>
      <c r="DM97" s="27" t="n"/>
      <c r="DN97" s="27" t="n"/>
      <c r="DO97" s="27" t="n"/>
      <c r="DP97" s="27" t="n"/>
      <c r="DQ97" s="27" t="n"/>
      <c r="DR97" s="27" t="n"/>
      <c r="DS97" s="27" t="n"/>
      <c r="DT97" s="27" t="n"/>
      <c r="DU97" s="27" t="n"/>
      <c r="DV97" s="27" t="n"/>
      <c r="DW97" s="27" t="n"/>
      <c r="DX97" s="27" t="n"/>
      <c r="DY97" s="27" t="n"/>
      <c r="DZ97" s="27" t="n"/>
      <c r="EA97" s="27" t="n"/>
      <c r="EB97" s="27" t="n"/>
      <c r="EC97" s="27" t="n"/>
      <c r="ED97" s="27" t="n"/>
      <c r="EE97" s="27" t="n"/>
      <c r="EF97" s="27" t="n"/>
      <c r="EG97" s="27" t="n"/>
      <c r="EH97" s="27" t="n"/>
      <c r="EI97" s="27" t="n"/>
      <c r="EJ97" s="27" t="n"/>
      <c r="EK97" s="27" t="n"/>
      <c r="EL97" s="27" t="n"/>
      <c r="EM97" s="27" t="n"/>
      <c r="EN97" s="27" t="n"/>
      <c r="EO97" s="27" t="n"/>
      <c r="EP97" s="27" t="n"/>
      <c r="EQ97" s="27" t="n"/>
      <c r="ER97" s="27" t="n"/>
      <c r="ES97" s="27" t="n"/>
      <c r="ET97" s="27" t="n"/>
      <c r="EU97" s="27" t="n"/>
      <c r="EV97" s="27" t="n"/>
      <c r="EW97" s="27" t="n"/>
      <c r="EX97" s="27" t="n"/>
      <c r="EY97" s="27" t="n"/>
      <c r="EZ97" s="27" t="n"/>
      <c r="FA97" s="27" t="n"/>
      <c r="FB97" s="27" t="n"/>
      <c r="FC97" s="27" t="n"/>
      <c r="FD97" s="27" t="n"/>
      <c r="FE97" s="27" t="n"/>
      <c r="FF97" s="27" t="n"/>
      <c r="FG97" s="27" t="n"/>
      <c r="FH97" s="27" t="n"/>
      <c r="FI97" s="27" t="n"/>
      <c r="FJ97" s="27" t="n"/>
      <c r="FK97" s="27" t="n"/>
      <c r="FL97" s="27" t="n"/>
      <c r="FM97" s="27" t="n"/>
      <c r="FN97" s="27" t="n"/>
      <c r="FO97" s="27" t="n"/>
      <c r="FP97" s="27" t="n"/>
      <c r="FQ97" s="27" t="n"/>
      <c r="FR97" s="27" t="n"/>
      <c r="FS97" s="27" t="n"/>
      <c r="FT97" s="27" t="n"/>
      <c r="FU97" s="27" t="n"/>
      <c r="FV97" s="27" t="n"/>
      <c r="FW97" s="27" t="n"/>
      <c r="FX97" s="27" t="n"/>
      <c r="FY97" s="27" t="n"/>
      <c r="FZ97" s="27" t="n"/>
      <c r="GA97" s="27" t="n"/>
      <c r="GB97" s="27" t="n"/>
      <c r="GC97" s="27" t="n"/>
      <c r="GD97" s="27" t="n"/>
      <c r="GE97" s="27" t="n"/>
      <c r="GF97" s="27" t="n"/>
      <c r="GG97" s="27" t="n"/>
      <c r="GH97" s="27" t="n"/>
      <c r="GI97" s="27" t="n"/>
      <c r="GJ97" s="27" t="n"/>
      <c r="GK97" s="27" t="n"/>
      <c r="GL97" s="27" t="n"/>
      <c r="GM97" s="27" t="n"/>
      <c r="GN97" s="27" t="n"/>
      <c r="GO97" s="27" t="n"/>
      <c r="GP97" s="27" t="n"/>
      <c r="GQ97" s="27" t="n"/>
      <c r="GR97" s="27" t="n"/>
      <c r="GS97" s="27" t="n"/>
      <c r="GT97" s="27" t="n"/>
      <c r="GU97" s="27" t="n"/>
      <c r="GV97" s="27" t="n"/>
      <c r="GW97" s="27" t="n"/>
      <c r="GX97" s="27" t="n"/>
      <c r="GY97" s="27" t="n"/>
      <c r="GZ97" s="27" t="n"/>
      <c r="HA97" s="27" t="n"/>
      <c r="HB97" s="27" t="n"/>
      <c r="HC97" s="27" t="n"/>
      <c r="HD97" s="27" t="n"/>
      <c r="HE97" s="27" t="n"/>
      <c r="HF97" s="27" t="n"/>
      <c r="HG97" s="27" t="n"/>
      <c r="HH97" s="27" t="n"/>
      <c r="HI97" s="27" t="n"/>
      <c r="HJ97" s="27" t="n"/>
      <c r="HK97" s="27" t="n"/>
      <c r="HL97" s="27" t="n"/>
      <c r="HM97" s="27" t="n"/>
      <c r="HN97" s="27" t="n"/>
      <c r="HO97" s="27" t="n"/>
      <c r="HP97" s="27" t="n"/>
      <c r="HQ97" s="27" t="n"/>
      <c r="HR97" s="27" t="n"/>
      <c r="HS97" s="27" t="n"/>
      <c r="HT97" s="27" t="n"/>
      <c r="HU97" s="27" t="n"/>
      <c r="HV97" s="27" t="n"/>
      <c r="HW97" s="27" t="n"/>
      <c r="HX97" s="27" t="n"/>
      <c r="HY97" s="27" t="n"/>
      <c r="HZ97" s="27" t="n"/>
      <c r="IA97" s="27" t="n"/>
      <c r="IB97" s="27" t="n"/>
      <c r="IC97" s="27" t="n"/>
      <c r="ID97" s="27" t="n"/>
      <c r="IE97" s="27" t="n"/>
      <c r="IF97" s="27" t="n"/>
      <c r="IG97" s="27" t="n"/>
      <c r="IH97" s="27" t="n"/>
      <c r="II97" s="27" t="n"/>
      <c r="IJ97" s="27" t="n"/>
      <c r="IK97" s="27" t="n"/>
      <c r="IL97" s="27" t="n"/>
      <c r="IM97" s="27" t="n"/>
      <c r="IN97" s="27" t="n"/>
      <c r="IO97" s="27" t="n"/>
      <c r="IP97" s="27" t="n"/>
      <c r="IQ97" s="27" t="n"/>
      <c r="IR97" s="27" t="n"/>
      <c r="IS97" s="27" t="n"/>
      <c r="IT97" s="27" t="n"/>
      <c r="IU97" s="27" t="n"/>
      <c r="IV97" s="27" t="n"/>
    </row>
    <row r="98" ht="13" customHeight="1" s="195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  <c r="BU98" s="27" t="n"/>
      <c r="BV98" s="27" t="n"/>
      <c r="BW98" s="27" t="n"/>
      <c r="BX98" s="27" t="n"/>
      <c r="BY98" s="27" t="n"/>
      <c r="BZ98" s="27" t="n"/>
      <c r="CA98" s="27" t="n"/>
      <c r="CB98" s="27" t="n"/>
      <c r="CC98" s="27" t="n"/>
      <c r="CD98" s="27" t="n"/>
      <c r="CE98" s="27" t="n"/>
      <c r="CF98" s="27" t="n"/>
      <c r="CG98" s="27" t="n"/>
      <c r="CH98" s="27" t="n"/>
      <c r="CI98" s="27" t="n"/>
      <c r="CJ98" s="27" t="n"/>
      <c r="CK98" s="27" t="n"/>
      <c r="CL98" s="27" t="n"/>
      <c r="CM98" s="27" t="n"/>
      <c r="CN98" s="27" t="n"/>
      <c r="CO98" s="27" t="n"/>
      <c r="CP98" s="27" t="n"/>
      <c r="CQ98" s="27" t="n"/>
      <c r="CR98" s="27" t="n"/>
      <c r="CS98" s="27" t="n"/>
      <c r="CT98" s="27" t="n"/>
      <c r="CU98" s="27" t="n"/>
      <c r="CV98" s="27" t="n"/>
      <c r="CW98" s="27" t="n"/>
      <c r="CX98" s="27" t="n"/>
      <c r="CY98" s="27" t="n"/>
      <c r="CZ98" s="27" t="n"/>
      <c r="DA98" s="27" t="n"/>
      <c r="DB98" s="27" t="n"/>
      <c r="DC98" s="27" t="n"/>
      <c r="DD98" s="27" t="n"/>
      <c r="DE98" s="27" t="n"/>
      <c r="DF98" s="27" t="n"/>
      <c r="DG98" s="27" t="n"/>
      <c r="DH98" s="27" t="n"/>
      <c r="DI98" s="27" t="n"/>
      <c r="DJ98" s="27" t="n"/>
      <c r="DK98" s="27" t="n"/>
      <c r="DL98" s="27" t="n"/>
      <c r="DM98" s="27" t="n"/>
      <c r="DN98" s="27" t="n"/>
      <c r="DO98" s="27" t="n"/>
      <c r="DP98" s="27" t="n"/>
      <c r="DQ98" s="27" t="n"/>
      <c r="DR98" s="27" t="n"/>
      <c r="DS98" s="27" t="n"/>
      <c r="DT98" s="27" t="n"/>
      <c r="DU98" s="27" t="n"/>
      <c r="DV98" s="27" t="n"/>
      <c r="DW98" s="27" t="n"/>
      <c r="DX98" s="27" t="n"/>
      <c r="DY98" s="27" t="n"/>
      <c r="DZ98" s="27" t="n"/>
      <c r="EA98" s="27" t="n"/>
      <c r="EB98" s="27" t="n"/>
      <c r="EC98" s="27" t="n"/>
      <c r="ED98" s="27" t="n"/>
      <c r="EE98" s="27" t="n"/>
      <c r="EF98" s="27" t="n"/>
      <c r="EG98" s="27" t="n"/>
      <c r="EH98" s="27" t="n"/>
      <c r="EI98" s="27" t="n"/>
      <c r="EJ98" s="27" t="n"/>
      <c r="EK98" s="27" t="n"/>
      <c r="EL98" s="27" t="n"/>
      <c r="EM98" s="27" t="n"/>
      <c r="EN98" s="27" t="n"/>
      <c r="EO98" s="27" t="n"/>
      <c r="EP98" s="27" t="n"/>
      <c r="EQ98" s="27" t="n"/>
      <c r="ER98" s="27" t="n"/>
      <c r="ES98" s="27" t="n"/>
      <c r="ET98" s="27" t="n"/>
      <c r="EU98" s="27" t="n"/>
      <c r="EV98" s="27" t="n"/>
      <c r="EW98" s="27" t="n"/>
      <c r="EX98" s="27" t="n"/>
      <c r="EY98" s="27" t="n"/>
      <c r="EZ98" s="27" t="n"/>
      <c r="FA98" s="27" t="n"/>
      <c r="FB98" s="27" t="n"/>
      <c r="FC98" s="27" t="n"/>
      <c r="FD98" s="27" t="n"/>
      <c r="FE98" s="27" t="n"/>
      <c r="FF98" s="27" t="n"/>
      <c r="FG98" s="27" t="n"/>
      <c r="FH98" s="27" t="n"/>
      <c r="FI98" s="27" t="n"/>
      <c r="FJ98" s="27" t="n"/>
      <c r="FK98" s="27" t="n"/>
      <c r="FL98" s="27" t="n"/>
      <c r="FM98" s="27" t="n"/>
      <c r="FN98" s="27" t="n"/>
      <c r="FO98" s="27" t="n"/>
      <c r="FP98" s="27" t="n"/>
      <c r="FQ98" s="27" t="n"/>
      <c r="FR98" s="27" t="n"/>
      <c r="FS98" s="27" t="n"/>
      <c r="FT98" s="27" t="n"/>
      <c r="FU98" s="27" t="n"/>
      <c r="FV98" s="27" t="n"/>
      <c r="FW98" s="27" t="n"/>
      <c r="FX98" s="27" t="n"/>
      <c r="FY98" s="27" t="n"/>
      <c r="FZ98" s="27" t="n"/>
      <c r="GA98" s="27" t="n"/>
      <c r="GB98" s="27" t="n"/>
      <c r="GC98" s="27" t="n"/>
      <c r="GD98" s="27" t="n"/>
      <c r="GE98" s="27" t="n"/>
      <c r="GF98" s="27" t="n"/>
      <c r="GG98" s="27" t="n"/>
      <c r="GH98" s="27" t="n"/>
      <c r="GI98" s="27" t="n"/>
      <c r="GJ98" s="27" t="n"/>
      <c r="GK98" s="27" t="n"/>
      <c r="GL98" s="27" t="n"/>
      <c r="GM98" s="27" t="n"/>
      <c r="GN98" s="27" t="n"/>
      <c r="GO98" s="27" t="n"/>
      <c r="GP98" s="27" t="n"/>
      <c r="GQ98" s="27" t="n"/>
      <c r="GR98" s="27" t="n"/>
      <c r="GS98" s="27" t="n"/>
      <c r="GT98" s="27" t="n"/>
      <c r="GU98" s="27" t="n"/>
      <c r="GV98" s="27" t="n"/>
      <c r="GW98" s="27" t="n"/>
      <c r="GX98" s="27" t="n"/>
      <c r="GY98" s="27" t="n"/>
      <c r="GZ98" s="27" t="n"/>
      <c r="HA98" s="27" t="n"/>
      <c r="HB98" s="27" t="n"/>
      <c r="HC98" s="27" t="n"/>
      <c r="HD98" s="27" t="n"/>
      <c r="HE98" s="27" t="n"/>
      <c r="HF98" s="27" t="n"/>
      <c r="HG98" s="27" t="n"/>
      <c r="HH98" s="27" t="n"/>
      <c r="HI98" s="27" t="n"/>
      <c r="HJ98" s="27" t="n"/>
      <c r="HK98" s="27" t="n"/>
      <c r="HL98" s="27" t="n"/>
      <c r="HM98" s="27" t="n"/>
      <c r="HN98" s="27" t="n"/>
      <c r="HO98" s="27" t="n"/>
      <c r="HP98" s="27" t="n"/>
      <c r="HQ98" s="27" t="n"/>
      <c r="HR98" s="27" t="n"/>
      <c r="HS98" s="27" t="n"/>
      <c r="HT98" s="27" t="n"/>
      <c r="HU98" s="27" t="n"/>
      <c r="HV98" s="27" t="n"/>
      <c r="HW98" s="27" t="n"/>
      <c r="HX98" s="27" t="n"/>
      <c r="HY98" s="27" t="n"/>
      <c r="HZ98" s="27" t="n"/>
      <c r="IA98" s="27" t="n"/>
      <c r="IB98" s="27" t="n"/>
      <c r="IC98" s="27" t="n"/>
      <c r="ID98" s="27" t="n"/>
      <c r="IE98" s="27" t="n"/>
      <c r="IF98" s="27" t="n"/>
      <c r="IG98" s="27" t="n"/>
      <c r="IH98" s="27" t="n"/>
      <c r="II98" s="27" t="n"/>
      <c r="IJ98" s="27" t="n"/>
      <c r="IK98" s="27" t="n"/>
      <c r="IL98" s="27" t="n"/>
      <c r="IM98" s="27" t="n"/>
      <c r="IN98" s="27" t="n"/>
      <c r="IO98" s="27" t="n"/>
      <c r="IP98" s="27" t="n"/>
      <c r="IQ98" s="27" t="n"/>
      <c r="IR98" s="27" t="n"/>
      <c r="IS98" s="27" t="n"/>
      <c r="IT98" s="27" t="n"/>
      <c r="IU98" s="27" t="n"/>
      <c r="IV98" s="27" t="n"/>
    </row>
    <row r="99" ht="13" customHeight="1" s="195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  <c r="AA99" s="27" t="n"/>
      <c r="AB99" s="27" t="n"/>
      <c r="AC99" s="27" t="n"/>
      <c r="AD99" s="27" t="n"/>
      <c r="AE99" s="27" t="n"/>
      <c r="AF99" s="27" t="n"/>
      <c r="AG99" s="27" t="n"/>
      <c r="AH99" s="27" t="n"/>
      <c r="AI99" s="27" t="n"/>
      <c r="AJ99" s="27" t="n"/>
      <c r="AK99" s="27" t="n"/>
      <c r="AL99" s="27" t="n"/>
      <c r="AM99" s="27" t="n"/>
      <c r="AN99" s="27" t="n"/>
      <c r="AO99" s="27" t="n"/>
      <c r="AP99" s="27" t="n"/>
      <c r="AQ99" s="27" t="n"/>
      <c r="AR99" s="27" t="n"/>
      <c r="AS99" s="27" t="n"/>
      <c r="AT99" s="27" t="n"/>
      <c r="AU99" s="27" t="n"/>
      <c r="AV99" s="27" t="n"/>
      <c r="AW99" s="27" t="n"/>
      <c r="AX99" s="27" t="n"/>
      <c r="AY99" s="27" t="n"/>
      <c r="AZ99" s="27" t="n"/>
      <c r="BA99" s="27" t="n"/>
      <c r="BB99" s="27" t="n"/>
      <c r="BC99" s="27" t="n"/>
      <c r="BD99" s="27" t="n"/>
      <c r="BE99" s="27" t="n"/>
      <c r="BF99" s="27" t="n"/>
      <c r="BG99" s="27" t="n"/>
      <c r="BH99" s="27" t="n"/>
      <c r="BI99" s="27" t="n"/>
      <c r="BJ99" s="27" t="n"/>
      <c r="BK99" s="27" t="n"/>
      <c r="BL99" s="27" t="n"/>
      <c r="BM99" s="27" t="n"/>
      <c r="BN99" s="27" t="n"/>
      <c r="BO99" s="27" t="n"/>
      <c r="BP99" s="27" t="n"/>
      <c r="BQ99" s="27" t="n"/>
      <c r="BR99" s="27" t="n"/>
      <c r="BS99" s="27" t="n"/>
      <c r="BT99" s="27" t="n"/>
      <c r="BU99" s="27" t="n"/>
      <c r="BV99" s="27" t="n"/>
      <c r="BW99" s="27" t="n"/>
      <c r="BX99" s="27" t="n"/>
      <c r="BY99" s="27" t="n"/>
      <c r="BZ99" s="27" t="n"/>
      <c r="CA99" s="27" t="n"/>
      <c r="CB99" s="27" t="n"/>
      <c r="CC99" s="27" t="n"/>
      <c r="CD99" s="27" t="n"/>
      <c r="CE99" s="27" t="n"/>
      <c r="CF99" s="27" t="n"/>
      <c r="CG99" s="27" t="n"/>
      <c r="CH99" s="27" t="n"/>
      <c r="CI99" s="27" t="n"/>
      <c r="CJ99" s="27" t="n"/>
      <c r="CK99" s="27" t="n"/>
      <c r="CL99" s="27" t="n"/>
      <c r="CM99" s="27" t="n"/>
      <c r="CN99" s="27" t="n"/>
      <c r="CO99" s="27" t="n"/>
      <c r="CP99" s="27" t="n"/>
      <c r="CQ99" s="27" t="n"/>
      <c r="CR99" s="27" t="n"/>
      <c r="CS99" s="27" t="n"/>
      <c r="CT99" s="27" t="n"/>
      <c r="CU99" s="27" t="n"/>
      <c r="CV99" s="27" t="n"/>
      <c r="CW99" s="27" t="n"/>
      <c r="CX99" s="27" t="n"/>
      <c r="CY99" s="27" t="n"/>
      <c r="CZ99" s="27" t="n"/>
      <c r="DA99" s="27" t="n"/>
      <c r="DB99" s="27" t="n"/>
      <c r="DC99" s="27" t="n"/>
      <c r="DD99" s="27" t="n"/>
      <c r="DE99" s="27" t="n"/>
      <c r="DF99" s="27" t="n"/>
      <c r="DG99" s="27" t="n"/>
      <c r="DH99" s="27" t="n"/>
      <c r="DI99" s="27" t="n"/>
      <c r="DJ99" s="27" t="n"/>
      <c r="DK99" s="27" t="n"/>
      <c r="DL99" s="27" t="n"/>
      <c r="DM99" s="27" t="n"/>
      <c r="DN99" s="27" t="n"/>
      <c r="DO99" s="27" t="n"/>
      <c r="DP99" s="27" t="n"/>
      <c r="DQ99" s="27" t="n"/>
      <c r="DR99" s="27" t="n"/>
      <c r="DS99" s="27" t="n"/>
      <c r="DT99" s="27" t="n"/>
      <c r="DU99" s="27" t="n"/>
      <c r="DV99" s="27" t="n"/>
      <c r="DW99" s="27" t="n"/>
      <c r="DX99" s="27" t="n"/>
      <c r="DY99" s="27" t="n"/>
      <c r="DZ99" s="27" t="n"/>
      <c r="EA99" s="27" t="n"/>
      <c r="EB99" s="27" t="n"/>
      <c r="EC99" s="27" t="n"/>
      <c r="ED99" s="27" t="n"/>
      <c r="EE99" s="27" t="n"/>
      <c r="EF99" s="27" t="n"/>
      <c r="EG99" s="27" t="n"/>
      <c r="EH99" s="27" t="n"/>
      <c r="EI99" s="27" t="n"/>
      <c r="EJ99" s="27" t="n"/>
      <c r="EK99" s="27" t="n"/>
      <c r="EL99" s="27" t="n"/>
      <c r="EM99" s="27" t="n"/>
      <c r="EN99" s="27" t="n"/>
      <c r="EO99" s="27" t="n"/>
      <c r="EP99" s="27" t="n"/>
      <c r="EQ99" s="27" t="n"/>
      <c r="ER99" s="27" t="n"/>
      <c r="ES99" s="27" t="n"/>
      <c r="ET99" s="27" t="n"/>
      <c r="EU99" s="27" t="n"/>
      <c r="EV99" s="27" t="n"/>
      <c r="EW99" s="27" t="n"/>
      <c r="EX99" s="27" t="n"/>
      <c r="EY99" s="27" t="n"/>
      <c r="EZ99" s="27" t="n"/>
      <c r="FA99" s="27" t="n"/>
      <c r="FB99" s="27" t="n"/>
      <c r="FC99" s="27" t="n"/>
      <c r="FD99" s="27" t="n"/>
      <c r="FE99" s="27" t="n"/>
      <c r="FF99" s="27" t="n"/>
      <c r="FG99" s="27" t="n"/>
      <c r="FH99" s="27" t="n"/>
      <c r="FI99" s="27" t="n"/>
      <c r="FJ99" s="27" t="n"/>
      <c r="FK99" s="27" t="n"/>
      <c r="FL99" s="27" t="n"/>
      <c r="FM99" s="27" t="n"/>
      <c r="FN99" s="27" t="n"/>
      <c r="FO99" s="27" t="n"/>
      <c r="FP99" s="27" t="n"/>
      <c r="FQ99" s="27" t="n"/>
      <c r="FR99" s="27" t="n"/>
      <c r="FS99" s="27" t="n"/>
      <c r="FT99" s="27" t="n"/>
      <c r="FU99" s="27" t="n"/>
      <c r="FV99" s="27" t="n"/>
      <c r="FW99" s="27" t="n"/>
      <c r="FX99" s="27" t="n"/>
      <c r="FY99" s="27" t="n"/>
      <c r="FZ99" s="27" t="n"/>
      <c r="GA99" s="27" t="n"/>
      <c r="GB99" s="27" t="n"/>
      <c r="GC99" s="27" t="n"/>
      <c r="GD99" s="27" t="n"/>
      <c r="GE99" s="27" t="n"/>
      <c r="GF99" s="27" t="n"/>
      <c r="GG99" s="27" t="n"/>
      <c r="GH99" s="27" t="n"/>
      <c r="GI99" s="27" t="n"/>
      <c r="GJ99" s="27" t="n"/>
      <c r="GK99" s="27" t="n"/>
      <c r="GL99" s="27" t="n"/>
      <c r="GM99" s="27" t="n"/>
      <c r="GN99" s="27" t="n"/>
      <c r="GO99" s="27" t="n"/>
      <c r="GP99" s="27" t="n"/>
      <c r="GQ99" s="27" t="n"/>
      <c r="GR99" s="27" t="n"/>
      <c r="GS99" s="27" t="n"/>
      <c r="GT99" s="27" t="n"/>
      <c r="GU99" s="27" t="n"/>
      <c r="GV99" s="27" t="n"/>
      <c r="GW99" s="27" t="n"/>
      <c r="GX99" s="27" t="n"/>
      <c r="GY99" s="27" t="n"/>
      <c r="GZ99" s="27" t="n"/>
      <c r="HA99" s="27" t="n"/>
      <c r="HB99" s="27" t="n"/>
      <c r="HC99" s="27" t="n"/>
      <c r="HD99" s="27" t="n"/>
      <c r="HE99" s="27" t="n"/>
      <c r="HF99" s="27" t="n"/>
      <c r="HG99" s="27" t="n"/>
      <c r="HH99" s="27" t="n"/>
      <c r="HI99" s="27" t="n"/>
      <c r="HJ99" s="27" t="n"/>
      <c r="HK99" s="27" t="n"/>
      <c r="HL99" s="27" t="n"/>
      <c r="HM99" s="27" t="n"/>
      <c r="HN99" s="27" t="n"/>
      <c r="HO99" s="27" t="n"/>
      <c r="HP99" s="27" t="n"/>
      <c r="HQ99" s="27" t="n"/>
      <c r="HR99" s="27" t="n"/>
      <c r="HS99" s="27" t="n"/>
      <c r="HT99" s="27" t="n"/>
      <c r="HU99" s="27" t="n"/>
      <c r="HV99" s="27" t="n"/>
      <c r="HW99" s="27" t="n"/>
      <c r="HX99" s="27" t="n"/>
      <c r="HY99" s="27" t="n"/>
      <c r="HZ99" s="27" t="n"/>
      <c r="IA99" s="27" t="n"/>
      <c r="IB99" s="27" t="n"/>
      <c r="IC99" s="27" t="n"/>
      <c r="ID99" s="27" t="n"/>
      <c r="IE99" s="27" t="n"/>
      <c r="IF99" s="27" t="n"/>
      <c r="IG99" s="27" t="n"/>
      <c r="IH99" s="27" t="n"/>
      <c r="II99" s="27" t="n"/>
      <c r="IJ99" s="27" t="n"/>
      <c r="IK99" s="27" t="n"/>
      <c r="IL99" s="27" t="n"/>
      <c r="IM99" s="27" t="n"/>
      <c r="IN99" s="27" t="n"/>
      <c r="IO99" s="27" t="n"/>
      <c r="IP99" s="27" t="n"/>
      <c r="IQ99" s="27" t="n"/>
      <c r="IR99" s="27" t="n"/>
      <c r="IS99" s="27" t="n"/>
      <c r="IT99" s="27" t="n"/>
      <c r="IU99" s="27" t="n"/>
      <c r="IV99" s="27" t="n"/>
    </row>
    <row r="100" ht="13" customHeight="1" s="195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  <c r="BU100" s="27" t="n"/>
      <c r="BV100" s="27" t="n"/>
      <c r="BW100" s="27" t="n"/>
      <c r="BX100" s="27" t="n"/>
      <c r="BY100" s="27" t="n"/>
      <c r="BZ100" s="27" t="n"/>
      <c r="CA100" s="27" t="n"/>
      <c r="CB100" s="27" t="n"/>
      <c r="CC100" s="27" t="n"/>
      <c r="CD100" s="27" t="n"/>
      <c r="CE100" s="27" t="n"/>
      <c r="CF100" s="27" t="n"/>
      <c r="CG100" s="27" t="n"/>
      <c r="CH100" s="27" t="n"/>
      <c r="CI100" s="27" t="n"/>
      <c r="CJ100" s="27" t="n"/>
      <c r="CK100" s="27" t="n"/>
      <c r="CL100" s="27" t="n"/>
      <c r="CM100" s="27" t="n"/>
      <c r="CN100" s="27" t="n"/>
      <c r="CO100" s="27" t="n"/>
      <c r="CP100" s="27" t="n"/>
      <c r="CQ100" s="27" t="n"/>
      <c r="CR100" s="27" t="n"/>
      <c r="CS100" s="27" t="n"/>
      <c r="CT100" s="27" t="n"/>
      <c r="CU100" s="27" t="n"/>
      <c r="CV100" s="27" t="n"/>
      <c r="CW100" s="27" t="n"/>
      <c r="CX100" s="27" t="n"/>
      <c r="CY100" s="27" t="n"/>
      <c r="CZ100" s="27" t="n"/>
      <c r="DA100" s="27" t="n"/>
      <c r="DB100" s="27" t="n"/>
      <c r="DC100" s="27" t="n"/>
      <c r="DD100" s="27" t="n"/>
      <c r="DE100" s="27" t="n"/>
      <c r="DF100" s="27" t="n"/>
      <c r="DG100" s="27" t="n"/>
      <c r="DH100" s="27" t="n"/>
      <c r="DI100" s="27" t="n"/>
      <c r="DJ100" s="27" t="n"/>
      <c r="DK100" s="27" t="n"/>
      <c r="DL100" s="27" t="n"/>
      <c r="DM100" s="27" t="n"/>
      <c r="DN100" s="27" t="n"/>
      <c r="DO100" s="27" t="n"/>
      <c r="DP100" s="27" t="n"/>
      <c r="DQ100" s="27" t="n"/>
      <c r="DR100" s="27" t="n"/>
      <c r="DS100" s="27" t="n"/>
      <c r="DT100" s="27" t="n"/>
      <c r="DU100" s="27" t="n"/>
      <c r="DV100" s="27" t="n"/>
      <c r="DW100" s="27" t="n"/>
      <c r="DX100" s="27" t="n"/>
      <c r="DY100" s="27" t="n"/>
      <c r="DZ100" s="27" t="n"/>
      <c r="EA100" s="27" t="n"/>
      <c r="EB100" s="27" t="n"/>
      <c r="EC100" s="27" t="n"/>
      <c r="ED100" s="27" t="n"/>
      <c r="EE100" s="27" t="n"/>
      <c r="EF100" s="27" t="n"/>
      <c r="EG100" s="27" t="n"/>
      <c r="EH100" s="27" t="n"/>
      <c r="EI100" s="27" t="n"/>
      <c r="EJ100" s="27" t="n"/>
      <c r="EK100" s="27" t="n"/>
      <c r="EL100" s="27" t="n"/>
      <c r="EM100" s="27" t="n"/>
      <c r="EN100" s="27" t="n"/>
      <c r="EO100" s="27" t="n"/>
      <c r="EP100" s="27" t="n"/>
      <c r="EQ100" s="27" t="n"/>
      <c r="ER100" s="27" t="n"/>
      <c r="ES100" s="27" t="n"/>
      <c r="ET100" s="27" t="n"/>
      <c r="EU100" s="27" t="n"/>
      <c r="EV100" s="27" t="n"/>
      <c r="EW100" s="27" t="n"/>
      <c r="EX100" s="27" t="n"/>
      <c r="EY100" s="27" t="n"/>
      <c r="EZ100" s="27" t="n"/>
      <c r="FA100" s="27" t="n"/>
      <c r="FB100" s="27" t="n"/>
      <c r="FC100" s="27" t="n"/>
      <c r="FD100" s="27" t="n"/>
      <c r="FE100" s="27" t="n"/>
      <c r="FF100" s="27" t="n"/>
      <c r="FG100" s="27" t="n"/>
      <c r="FH100" s="27" t="n"/>
      <c r="FI100" s="27" t="n"/>
      <c r="FJ100" s="27" t="n"/>
      <c r="FK100" s="27" t="n"/>
      <c r="FL100" s="27" t="n"/>
      <c r="FM100" s="27" t="n"/>
      <c r="FN100" s="27" t="n"/>
      <c r="FO100" s="27" t="n"/>
      <c r="FP100" s="27" t="n"/>
      <c r="FQ100" s="27" t="n"/>
      <c r="FR100" s="27" t="n"/>
      <c r="FS100" s="27" t="n"/>
      <c r="FT100" s="27" t="n"/>
      <c r="FU100" s="27" t="n"/>
      <c r="FV100" s="27" t="n"/>
      <c r="FW100" s="27" t="n"/>
      <c r="FX100" s="27" t="n"/>
      <c r="FY100" s="27" t="n"/>
      <c r="FZ100" s="27" t="n"/>
      <c r="GA100" s="27" t="n"/>
      <c r="GB100" s="27" t="n"/>
      <c r="GC100" s="27" t="n"/>
      <c r="GD100" s="27" t="n"/>
      <c r="GE100" s="27" t="n"/>
      <c r="GF100" s="27" t="n"/>
      <c r="GG100" s="27" t="n"/>
      <c r="GH100" s="27" t="n"/>
      <c r="GI100" s="27" t="n"/>
      <c r="GJ100" s="27" t="n"/>
      <c r="GK100" s="27" t="n"/>
      <c r="GL100" s="27" t="n"/>
      <c r="GM100" s="27" t="n"/>
      <c r="GN100" s="27" t="n"/>
      <c r="GO100" s="27" t="n"/>
      <c r="GP100" s="27" t="n"/>
      <c r="GQ100" s="27" t="n"/>
      <c r="GR100" s="27" t="n"/>
      <c r="GS100" s="27" t="n"/>
      <c r="GT100" s="27" t="n"/>
      <c r="GU100" s="27" t="n"/>
      <c r="GV100" s="27" t="n"/>
      <c r="GW100" s="27" t="n"/>
      <c r="GX100" s="27" t="n"/>
      <c r="GY100" s="27" t="n"/>
      <c r="GZ100" s="27" t="n"/>
      <c r="HA100" s="27" t="n"/>
      <c r="HB100" s="27" t="n"/>
      <c r="HC100" s="27" t="n"/>
      <c r="HD100" s="27" t="n"/>
      <c r="HE100" s="27" t="n"/>
      <c r="HF100" s="27" t="n"/>
      <c r="HG100" s="27" t="n"/>
      <c r="HH100" s="27" t="n"/>
      <c r="HI100" s="27" t="n"/>
      <c r="HJ100" s="27" t="n"/>
      <c r="HK100" s="27" t="n"/>
      <c r="HL100" s="27" t="n"/>
      <c r="HM100" s="27" t="n"/>
      <c r="HN100" s="27" t="n"/>
      <c r="HO100" s="27" t="n"/>
      <c r="HP100" s="27" t="n"/>
      <c r="HQ100" s="27" t="n"/>
      <c r="HR100" s="27" t="n"/>
      <c r="HS100" s="27" t="n"/>
      <c r="HT100" s="27" t="n"/>
      <c r="HU100" s="27" t="n"/>
      <c r="HV100" s="27" t="n"/>
      <c r="HW100" s="27" t="n"/>
      <c r="HX100" s="27" t="n"/>
      <c r="HY100" s="27" t="n"/>
      <c r="HZ100" s="27" t="n"/>
      <c r="IA100" s="27" t="n"/>
      <c r="IB100" s="27" t="n"/>
      <c r="IC100" s="27" t="n"/>
      <c r="ID100" s="27" t="n"/>
      <c r="IE100" s="27" t="n"/>
      <c r="IF100" s="27" t="n"/>
      <c r="IG100" s="27" t="n"/>
      <c r="IH100" s="27" t="n"/>
      <c r="II100" s="27" t="n"/>
      <c r="IJ100" s="27" t="n"/>
      <c r="IK100" s="27" t="n"/>
      <c r="IL100" s="27" t="n"/>
      <c r="IM100" s="27" t="n"/>
      <c r="IN100" s="27" t="n"/>
      <c r="IO100" s="27" t="n"/>
      <c r="IP100" s="27" t="n"/>
      <c r="IQ100" s="27" t="n"/>
      <c r="IR100" s="27" t="n"/>
      <c r="IS100" s="27" t="n"/>
      <c r="IT100" s="27" t="n"/>
      <c r="IU100" s="27" t="n"/>
      <c r="IV100" s="27" t="n"/>
    </row>
    <row r="101" ht="13" customHeight="1" s="195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  <c r="AA101" s="27" t="n"/>
      <c r="AB101" s="27" t="n"/>
      <c r="AC101" s="27" t="n"/>
      <c r="AD101" s="27" t="n"/>
      <c r="AE101" s="27" t="n"/>
      <c r="AF101" s="27" t="n"/>
      <c r="AG101" s="27" t="n"/>
      <c r="AH101" s="27" t="n"/>
      <c r="AI101" s="27" t="n"/>
      <c r="AJ101" s="27" t="n"/>
      <c r="AK101" s="27" t="n"/>
      <c r="AL101" s="27" t="n"/>
      <c r="AM101" s="27" t="n"/>
      <c r="AN101" s="27" t="n"/>
      <c r="AO101" s="27" t="n"/>
      <c r="AP101" s="27" t="n"/>
      <c r="AQ101" s="27" t="n"/>
      <c r="AR101" s="27" t="n"/>
      <c r="AS101" s="27" t="n"/>
      <c r="AT101" s="27" t="n"/>
      <c r="AU101" s="27" t="n"/>
      <c r="AV101" s="27" t="n"/>
      <c r="AW101" s="27" t="n"/>
      <c r="AX101" s="27" t="n"/>
      <c r="AY101" s="27" t="n"/>
      <c r="AZ101" s="27" t="n"/>
      <c r="BA101" s="27" t="n"/>
      <c r="BB101" s="27" t="n"/>
      <c r="BC101" s="27" t="n"/>
      <c r="BD101" s="27" t="n"/>
      <c r="BE101" s="27" t="n"/>
      <c r="BF101" s="27" t="n"/>
      <c r="BG101" s="27" t="n"/>
      <c r="BH101" s="27" t="n"/>
      <c r="BI101" s="27" t="n"/>
      <c r="BJ101" s="27" t="n"/>
      <c r="BK101" s="27" t="n"/>
      <c r="BL101" s="27" t="n"/>
      <c r="BM101" s="27" t="n"/>
      <c r="BN101" s="27" t="n"/>
      <c r="BO101" s="27" t="n"/>
      <c r="BP101" s="27" t="n"/>
      <c r="BQ101" s="27" t="n"/>
      <c r="BR101" s="27" t="n"/>
      <c r="BS101" s="27" t="n"/>
      <c r="BT101" s="27" t="n"/>
      <c r="BU101" s="27" t="n"/>
      <c r="BV101" s="27" t="n"/>
      <c r="BW101" s="27" t="n"/>
      <c r="BX101" s="27" t="n"/>
      <c r="BY101" s="27" t="n"/>
      <c r="BZ101" s="27" t="n"/>
      <c r="CA101" s="27" t="n"/>
      <c r="CB101" s="27" t="n"/>
      <c r="CC101" s="27" t="n"/>
      <c r="CD101" s="27" t="n"/>
      <c r="CE101" s="27" t="n"/>
      <c r="CF101" s="27" t="n"/>
      <c r="CG101" s="27" t="n"/>
      <c r="CH101" s="27" t="n"/>
      <c r="CI101" s="27" t="n"/>
      <c r="CJ101" s="27" t="n"/>
      <c r="CK101" s="27" t="n"/>
      <c r="CL101" s="27" t="n"/>
      <c r="CM101" s="27" t="n"/>
      <c r="CN101" s="27" t="n"/>
      <c r="CO101" s="27" t="n"/>
      <c r="CP101" s="27" t="n"/>
      <c r="CQ101" s="27" t="n"/>
      <c r="CR101" s="27" t="n"/>
      <c r="CS101" s="27" t="n"/>
      <c r="CT101" s="27" t="n"/>
      <c r="CU101" s="27" t="n"/>
      <c r="CV101" s="27" t="n"/>
      <c r="CW101" s="27" t="n"/>
      <c r="CX101" s="27" t="n"/>
      <c r="CY101" s="27" t="n"/>
      <c r="CZ101" s="27" t="n"/>
      <c r="DA101" s="27" t="n"/>
      <c r="DB101" s="27" t="n"/>
      <c r="DC101" s="27" t="n"/>
      <c r="DD101" s="27" t="n"/>
      <c r="DE101" s="27" t="n"/>
      <c r="DF101" s="27" t="n"/>
      <c r="DG101" s="27" t="n"/>
      <c r="DH101" s="27" t="n"/>
      <c r="DI101" s="27" t="n"/>
      <c r="DJ101" s="27" t="n"/>
      <c r="DK101" s="27" t="n"/>
      <c r="DL101" s="27" t="n"/>
      <c r="DM101" s="27" t="n"/>
      <c r="DN101" s="27" t="n"/>
      <c r="DO101" s="27" t="n"/>
      <c r="DP101" s="27" t="n"/>
      <c r="DQ101" s="27" t="n"/>
      <c r="DR101" s="27" t="n"/>
      <c r="DS101" s="27" t="n"/>
      <c r="DT101" s="27" t="n"/>
      <c r="DU101" s="27" t="n"/>
      <c r="DV101" s="27" t="n"/>
      <c r="DW101" s="27" t="n"/>
      <c r="DX101" s="27" t="n"/>
      <c r="DY101" s="27" t="n"/>
      <c r="DZ101" s="27" t="n"/>
      <c r="EA101" s="27" t="n"/>
      <c r="EB101" s="27" t="n"/>
      <c r="EC101" s="27" t="n"/>
      <c r="ED101" s="27" t="n"/>
      <c r="EE101" s="27" t="n"/>
      <c r="EF101" s="27" t="n"/>
      <c r="EG101" s="27" t="n"/>
      <c r="EH101" s="27" t="n"/>
      <c r="EI101" s="27" t="n"/>
      <c r="EJ101" s="27" t="n"/>
      <c r="EK101" s="27" t="n"/>
      <c r="EL101" s="27" t="n"/>
      <c r="EM101" s="27" t="n"/>
      <c r="EN101" s="27" t="n"/>
      <c r="EO101" s="27" t="n"/>
      <c r="EP101" s="27" t="n"/>
      <c r="EQ101" s="27" t="n"/>
      <c r="ER101" s="27" t="n"/>
      <c r="ES101" s="27" t="n"/>
      <c r="ET101" s="27" t="n"/>
      <c r="EU101" s="27" t="n"/>
      <c r="EV101" s="27" t="n"/>
      <c r="EW101" s="27" t="n"/>
      <c r="EX101" s="27" t="n"/>
      <c r="EY101" s="27" t="n"/>
      <c r="EZ101" s="27" t="n"/>
      <c r="FA101" s="27" t="n"/>
      <c r="FB101" s="27" t="n"/>
      <c r="FC101" s="27" t="n"/>
      <c r="FD101" s="27" t="n"/>
      <c r="FE101" s="27" t="n"/>
      <c r="FF101" s="27" t="n"/>
      <c r="FG101" s="27" t="n"/>
      <c r="FH101" s="27" t="n"/>
      <c r="FI101" s="27" t="n"/>
      <c r="FJ101" s="27" t="n"/>
      <c r="FK101" s="27" t="n"/>
      <c r="FL101" s="27" t="n"/>
      <c r="FM101" s="27" t="n"/>
      <c r="FN101" s="27" t="n"/>
      <c r="FO101" s="27" t="n"/>
      <c r="FP101" s="27" t="n"/>
      <c r="FQ101" s="27" t="n"/>
      <c r="FR101" s="27" t="n"/>
      <c r="FS101" s="27" t="n"/>
      <c r="FT101" s="27" t="n"/>
      <c r="FU101" s="27" t="n"/>
      <c r="FV101" s="27" t="n"/>
      <c r="FW101" s="27" t="n"/>
      <c r="FX101" s="27" t="n"/>
      <c r="FY101" s="27" t="n"/>
      <c r="FZ101" s="27" t="n"/>
      <c r="GA101" s="27" t="n"/>
      <c r="GB101" s="27" t="n"/>
      <c r="GC101" s="27" t="n"/>
      <c r="GD101" s="27" t="n"/>
      <c r="GE101" s="27" t="n"/>
      <c r="GF101" s="27" t="n"/>
      <c r="GG101" s="27" t="n"/>
      <c r="GH101" s="27" t="n"/>
      <c r="GI101" s="27" t="n"/>
      <c r="GJ101" s="27" t="n"/>
      <c r="GK101" s="27" t="n"/>
      <c r="GL101" s="27" t="n"/>
      <c r="GM101" s="27" t="n"/>
      <c r="GN101" s="27" t="n"/>
      <c r="GO101" s="27" t="n"/>
      <c r="GP101" s="27" t="n"/>
      <c r="GQ101" s="27" t="n"/>
      <c r="GR101" s="27" t="n"/>
      <c r="GS101" s="27" t="n"/>
      <c r="GT101" s="27" t="n"/>
      <c r="GU101" s="27" t="n"/>
      <c r="GV101" s="27" t="n"/>
      <c r="GW101" s="27" t="n"/>
      <c r="GX101" s="27" t="n"/>
      <c r="GY101" s="27" t="n"/>
      <c r="GZ101" s="27" t="n"/>
      <c r="HA101" s="27" t="n"/>
      <c r="HB101" s="27" t="n"/>
      <c r="HC101" s="27" t="n"/>
      <c r="HD101" s="27" t="n"/>
      <c r="HE101" s="27" t="n"/>
      <c r="HF101" s="27" t="n"/>
      <c r="HG101" s="27" t="n"/>
      <c r="HH101" s="27" t="n"/>
      <c r="HI101" s="27" t="n"/>
      <c r="HJ101" s="27" t="n"/>
      <c r="HK101" s="27" t="n"/>
      <c r="HL101" s="27" t="n"/>
      <c r="HM101" s="27" t="n"/>
      <c r="HN101" s="27" t="n"/>
      <c r="HO101" s="27" t="n"/>
      <c r="HP101" s="27" t="n"/>
      <c r="HQ101" s="27" t="n"/>
      <c r="HR101" s="27" t="n"/>
      <c r="HS101" s="27" t="n"/>
      <c r="HT101" s="27" t="n"/>
      <c r="HU101" s="27" t="n"/>
      <c r="HV101" s="27" t="n"/>
      <c r="HW101" s="27" t="n"/>
      <c r="HX101" s="27" t="n"/>
      <c r="HY101" s="27" t="n"/>
      <c r="HZ101" s="27" t="n"/>
      <c r="IA101" s="27" t="n"/>
      <c r="IB101" s="27" t="n"/>
      <c r="IC101" s="27" t="n"/>
      <c r="ID101" s="27" t="n"/>
      <c r="IE101" s="27" t="n"/>
      <c r="IF101" s="27" t="n"/>
      <c r="IG101" s="27" t="n"/>
      <c r="IH101" s="27" t="n"/>
      <c r="II101" s="27" t="n"/>
      <c r="IJ101" s="27" t="n"/>
      <c r="IK101" s="27" t="n"/>
      <c r="IL101" s="27" t="n"/>
      <c r="IM101" s="27" t="n"/>
      <c r="IN101" s="27" t="n"/>
      <c r="IO101" s="27" t="n"/>
      <c r="IP101" s="27" t="n"/>
      <c r="IQ101" s="27" t="n"/>
      <c r="IR101" s="27" t="n"/>
      <c r="IS101" s="27" t="n"/>
      <c r="IT101" s="27" t="n"/>
      <c r="IU101" s="27" t="n"/>
      <c r="IV101" s="27" t="n"/>
    </row>
    <row r="102" ht="13" customHeight="1" s="195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  <c r="BU102" s="27" t="n"/>
      <c r="BV102" s="27" t="n"/>
      <c r="BW102" s="27" t="n"/>
      <c r="BX102" s="27" t="n"/>
      <c r="BY102" s="27" t="n"/>
      <c r="BZ102" s="27" t="n"/>
      <c r="CA102" s="27" t="n"/>
      <c r="CB102" s="27" t="n"/>
      <c r="CC102" s="27" t="n"/>
      <c r="CD102" s="27" t="n"/>
      <c r="CE102" s="27" t="n"/>
      <c r="CF102" s="27" t="n"/>
      <c r="CG102" s="27" t="n"/>
      <c r="CH102" s="27" t="n"/>
      <c r="CI102" s="27" t="n"/>
      <c r="CJ102" s="27" t="n"/>
      <c r="CK102" s="27" t="n"/>
      <c r="CL102" s="27" t="n"/>
      <c r="CM102" s="27" t="n"/>
      <c r="CN102" s="27" t="n"/>
      <c r="CO102" s="27" t="n"/>
      <c r="CP102" s="27" t="n"/>
      <c r="CQ102" s="27" t="n"/>
      <c r="CR102" s="27" t="n"/>
      <c r="CS102" s="27" t="n"/>
      <c r="CT102" s="27" t="n"/>
      <c r="CU102" s="27" t="n"/>
      <c r="CV102" s="27" t="n"/>
      <c r="CW102" s="27" t="n"/>
      <c r="CX102" s="27" t="n"/>
      <c r="CY102" s="27" t="n"/>
      <c r="CZ102" s="27" t="n"/>
      <c r="DA102" s="27" t="n"/>
      <c r="DB102" s="27" t="n"/>
      <c r="DC102" s="27" t="n"/>
      <c r="DD102" s="27" t="n"/>
      <c r="DE102" s="27" t="n"/>
      <c r="DF102" s="27" t="n"/>
      <c r="DG102" s="27" t="n"/>
      <c r="DH102" s="27" t="n"/>
      <c r="DI102" s="27" t="n"/>
      <c r="DJ102" s="27" t="n"/>
      <c r="DK102" s="27" t="n"/>
      <c r="DL102" s="27" t="n"/>
      <c r="DM102" s="27" t="n"/>
      <c r="DN102" s="27" t="n"/>
      <c r="DO102" s="27" t="n"/>
      <c r="DP102" s="27" t="n"/>
      <c r="DQ102" s="27" t="n"/>
      <c r="DR102" s="27" t="n"/>
      <c r="DS102" s="27" t="n"/>
      <c r="DT102" s="27" t="n"/>
      <c r="DU102" s="27" t="n"/>
      <c r="DV102" s="27" t="n"/>
      <c r="DW102" s="27" t="n"/>
      <c r="DX102" s="27" t="n"/>
      <c r="DY102" s="27" t="n"/>
      <c r="DZ102" s="27" t="n"/>
      <c r="EA102" s="27" t="n"/>
      <c r="EB102" s="27" t="n"/>
      <c r="EC102" s="27" t="n"/>
      <c r="ED102" s="27" t="n"/>
      <c r="EE102" s="27" t="n"/>
      <c r="EF102" s="27" t="n"/>
      <c r="EG102" s="27" t="n"/>
      <c r="EH102" s="27" t="n"/>
      <c r="EI102" s="27" t="n"/>
      <c r="EJ102" s="27" t="n"/>
      <c r="EK102" s="27" t="n"/>
      <c r="EL102" s="27" t="n"/>
      <c r="EM102" s="27" t="n"/>
      <c r="EN102" s="27" t="n"/>
      <c r="EO102" s="27" t="n"/>
      <c r="EP102" s="27" t="n"/>
      <c r="EQ102" s="27" t="n"/>
      <c r="ER102" s="27" t="n"/>
      <c r="ES102" s="27" t="n"/>
      <c r="ET102" s="27" t="n"/>
      <c r="EU102" s="27" t="n"/>
      <c r="EV102" s="27" t="n"/>
      <c r="EW102" s="27" t="n"/>
      <c r="EX102" s="27" t="n"/>
      <c r="EY102" s="27" t="n"/>
      <c r="EZ102" s="27" t="n"/>
      <c r="FA102" s="27" t="n"/>
      <c r="FB102" s="27" t="n"/>
      <c r="FC102" s="27" t="n"/>
      <c r="FD102" s="27" t="n"/>
      <c r="FE102" s="27" t="n"/>
      <c r="FF102" s="27" t="n"/>
      <c r="FG102" s="27" t="n"/>
      <c r="FH102" s="27" t="n"/>
      <c r="FI102" s="27" t="n"/>
      <c r="FJ102" s="27" t="n"/>
      <c r="FK102" s="27" t="n"/>
      <c r="FL102" s="27" t="n"/>
      <c r="FM102" s="27" t="n"/>
      <c r="FN102" s="27" t="n"/>
      <c r="FO102" s="27" t="n"/>
      <c r="FP102" s="27" t="n"/>
      <c r="FQ102" s="27" t="n"/>
      <c r="FR102" s="27" t="n"/>
      <c r="FS102" s="27" t="n"/>
      <c r="FT102" s="27" t="n"/>
      <c r="FU102" s="27" t="n"/>
      <c r="FV102" s="27" t="n"/>
      <c r="FW102" s="27" t="n"/>
      <c r="FX102" s="27" t="n"/>
      <c r="FY102" s="27" t="n"/>
      <c r="FZ102" s="27" t="n"/>
      <c r="GA102" s="27" t="n"/>
      <c r="GB102" s="27" t="n"/>
      <c r="GC102" s="27" t="n"/>
      <c r="GD102" s="27" t="n"/>
      <c r="GE102" s="27" t="n"/>
      <c r="GF102" s="27" t="n"/>
      <c r="GG102" s="27" t="n"/>
      <c r="GH102" s="27" t="n"/>
      <c r="GI102" s="27" t="n"/>
      <c r="GJ102" s="27" t="n"/>
      <c r="GK102" s="27" t="n"/>
      <c r="GL102" s="27" t="n"/>
      <c r="GM102" s="27" t="n"/>
      <c r="GN102" s="27" t="n"/>
      <c r="GO102" s="27" t="n"/>
      <c r="GP102" s="27" t="n"/>
      <c r="GQ102" s="27" t="n"/>
      <c r="GR102" s="27" t="n"/>
      <c r="GS102" s="27" t="n"/>
      <c r="GT102" s="27" t="n"/>
      <c r="GU102" s="27" t="n"/>
      <c r="GV102" s="27" t="n"/>
      <c r="GW102" s="27" t="n"/>
      <c r="GX102" s="27" t="n"/>
      <c r="GY102" s="27" t="n"/>
      <c r="GZ102" s="27" t="n"/>
      <c r="HA102" s="27" t="n"/>
      <c r="HB102" s="27" t="n"/>
      <c r="HC102" s="27" t="n"/>
      <c r="HD102" s="27" t="n"/>
      <c r="HE102" s="27" t="n"/>
      <c r="HF102" s="27" t="n"/>
      <c r="HG102" s="27" t="n"/>
      <c r="HH102" s="27" t="n"/>
      <c r="HI102" s="27" t="n"/>
      <c r="HJ102" s="27" t="n"/>
      <c r="HK102" s="27" t="n"/>
      <c r="HL102" s="27" t="n"/>
      <c r="HM102" s="27" t="n"/>
      <c r="HN102" s="27" t="n"/>
      <c r="HO102" s="27" t="n"/>
      <c r="HP102" s="27" t="n"/>
      <c r="HQ102" s="27" t="n"/>
      <c r="HR102" s="27" t="n"/>
      <c r="HS102" s="27" t="n"/>
      <c r="HT102" s="27" t="n"/>
      <c r="HU102" s="27" t="n"/>
      <c r="HV102" s="27" t="n"/>
      <c r="HW102" s="27" t="n"/>
      <c r="HX102" s="27" t="n"/>
      <c r="HY102" s="27" t="n"/>
      <c r="HZ102" s="27" t="n"/>
      <c r="IA102" s="27" t="n"/>
      <c r="IB102" s="27" t="n"/>
      <c r="IC102" s="27" t="n"/>
      <c r="ID102" s="27" t="n"/>
      <c r="IE102" s="27" t="n"/>
      <c r="IF102" s="27" t="n"/>
      <c r="IG102" s="27" t="n"/>
      <c r="IH102" s="27" t="n"/>
      <c r="II102" s="27" t="n"/>
      <c r="IJ102" s="27" t="n"/>
      <c r="IK102" s="27" t="n"/>
      <c r="IL102" s="27" t="n"/>
      <c r="IM102" s="27" t="n"/>
      <c r="IN102" s="27" t="n"/>
      <c r="IO102" s="27" t="n"/>
      <c r="IP102" s="27" t="n"/>
      <c r="IQ102" s="27" t="n"/>
      <c r="IR102" s="27" t="n"/>
      <c r="IS102" s="27" t="n"/>
      <c r="IT102" s="27" t="n"/>
      <c r="IU102" s="27" t="n"/>
      <c r="IV102" s="27" t="n"/>
    </row>
    <row r="103" ht="13" customHeight="1" s="195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  <c r="AA103" s="27" t="n"/>
      <c r="AB103" s="27" t="n"/>
      <c r="AC103" s="27" t="n"/>
      <c r="AD103" s="27" t="n"/>
      <c r="AE103" s="27" t="n"/>
      <c r="AF103" s="27" t="n"/>
      <c r="AG103" s="27" t="n"/>
      <c r="AH103" s="27" t="n"/>
      <c r="AI103" s="27" t="n"/>
      <c r="AJ103" s="27" t="n"/>
      <c r="AK103" s="27" t="n"/>
      <c r="AL103" s="27" t="n"/>
      <c r="AM103" s="27" t="n"/>
      <c r="AN103" s="27" t="n"/>
      <c r="AO103" s="27" t="n"/>
      <c r="AP103" s="27" t="n"/>
      <c r="AQ103" s="27" t="n"/>
      <c r="AR103" s="27" t="n"/>
      <c r="AS103" s="27" t="n"/>
      <c r="AT103" s="27" t="n"/>
      <c r="AU103" s="27" t="n"/>
      <c r="AV103" s="27" t="n"/>
      <c r="AW103" s="27" t="n"/>
      <c r="AX103" s="27" t="n"/>
      <c r="AY103" s="27" t="n"/>
      <c r="AZ103" s="27" t="n"/>
      <c r="BA103" s="27" t="n"/>
      <c r="BB103" s="27" t="n"/>
      <c r="BC103" s="27" t="n"/>
      <c r="BD103" s="27" t="n"/>
      <c r="BE103" s="27" t="n"/>
      <c r="BF103" s="27" t="n"/>
      <c r="BG103" s="27" t="n"/>
      <c r="BH103" s="27" t="n"/>
      <c r="BI103" s="27" t="n"/>
      <c r="BJ103" s="27" t="n"/>
      <c r="BK103" s="27" t="n"/>
      <c r="BL103" s="27" t="n"/>
      <c r="BM103" s="27" t="n"/>
      <c r="BN103" s="27" t="n"/>
      <c r="BO103" s="27" t="n"/>
      <c r="BP103" s="27" t="n"/>
      <c r="BQ103" s="27" t="n"/>
      <c r="BR103" s="27" t="n"/>
      <c r="BS103" s="27" t="n"/>
      <c r="BT103" s="27" t="n"/>
      <c r="BU103" s="27" t="n"/>
      <c r="BV103" s="27" t="n"/>
      <c r="BW103" s="27" t="n"/>
      <c r="BX103" s="27" t="n"/>
      <c r="BY103" s="27" t="n"/>
      <c r="BZ103" s="27" t="n"/>
      <c r="CA103" s="27" t="n"/>
      <c r="CB103" s="27" t="n"/>
      <c r="CC103" s="27" t="n"/>
      <c r="CD103" s="27" t="n"/>
      <c r="CE103" s="27" t="n"/>
      <c r="CF103" s="27" t="n"/>
      <c r="CG103" s="27" t="n"/>
      <c r="CH103" s="27" t="n"/>
      <c r="CI103" s="27" t="n"/>
      <c r="CJ103" s="27" t="n"/>
      <c r="CK103" s="27" t="n"/>
      <c r="CL103" s="27" t="n"/>
      <c r="CM103" s="27" t="n"/>
      <c r="CN103" s="27" t="n"/>
      <c r="CO103" s="27" t="n"/>
      <c r="CP103" s="27" t="n"/>
      <c r="CQ103" s="27" t="n"/>
      <c r="CR103" s="27" t="n"/>
      <c r="CS103" s="27" t="n"/>
      <c r="CT103" s="27" t="n"/>
      <c r="CU103" s="27" t="n"/>
      <c r="CV103" s="27" t="n"/>
      <c r="CW103" s="27" t="n"/>
      <c r="CX103" s="27" t="n"/>
      <c r="CY103" s="27" t="n"/>
      <c r="CZ103" s="27" t="n"/>
      <c r="DA103" s="27" t="n"/>
      <c r="DB103" s="27" t="n"/>
      <c r="DC103" s="27" t="n"/>
      <c r="DD103" s="27" t="n"/>
      <c r="DE103" s="27" t="n"/>
      <c r="DF103" s="27" t="n"/>
      <c r="DG103" s="27" t="n"/>
      <c r="DH103" s="27" t="n"/>
      <c r="DI103" s="27" t="n"/>
      <c r="DJ103" s="27" t="n"/>
      <c r="DK103" s="27" t="n"/>
      <c r="DL103" s="27" t="n"/>
      <c r="DM103" s="27" t="n"/>
      <c r="DN103" s="27" t="n"/>
      <c r="DO103" s="27" t="n"/>
      <c r="DP103" s="27" t="n"/>
      <c r="DQ103" s="27" t="n"/>
      <c r="DR103" s="27" t="n"/>
      <c r="DS103" s="27" t="n"/>
      <c r="DT103" s="27" t="n"/>
      <c r="DU103" s="27" t="n"/>
      <c r="DV103" s="27" t="n"/>
      <c r="DW103" s="27" t="n"/>
      <c r="DX103" s="27" t="n"/>
      <c r="DY103" s="27" t="n"/>
      <c r="DZ103" s="27" t="n"/>
      <c r="EA103" s="27" t="n"/>
      <c r="EB103" s="27" t="n"/>
      <c r="EC103" s="27" t="n"/>
      <c r="ED103" s="27" t="n"/>
      <c r="EE103" s="27" t="n"/>
      <c r="EF103" s="27" t="n"/>
      <c r="EG103" s="27" t="n"/>
      <c r="EH103" s="27" t="n"/>
      <c r="EI103" s="27" t="n"/>
      <c r="EJ103" s="27" t="n"/>
      <c r="EK103" s="27" t="n"/>
      <c r="EL103" s="27" t="n"/>
      <c r="EM103" s="27" t="n"/>
      <c r="EN103" s="27" t="n"/>
      <c r="EO103" s="27" t="n"/>
      <c r="EP103" s="27" t="n"/>
      <c r="EQ103" s="27" t="n"/>
      <c r="ER103" s="27" t="n"/>
      <c r="ES103" s="27" t="n"/>
      <c r="ET103" s="27" t="n"/>
      <c r="EU103" s="27" t="n"/>
      <c r="EV103" s="27" t="n"/>
      <c r="EW103" s="27" t="n"/>
      <c r="EX103" s="27" t="n"/>
      <c r="EY103" s="27" t="n"/>
      <c r="EZ103" s="27" t="n"/>
      <c r="FA103" s="27" t="n"/>
      <c r="FB103" s="27" t="n"/>
      <c r="FC103" s="27" t="n"/>
      <c r="FD103" s="27" t="n"/>
      <c r="FE103" s="27" t="n"/>
      <c r="FF103" s="27" t="n"/>
      <c r="FG103" s="27" t="n"/>
      <c r="FH103" s="27" t="n"/>
      <c r="FI103" s="27" t="n"/>
      <c r="FJ103" s="27" t="n"/>
      <c r="FK103" s="27" t="n"/>
      <c r="FL103" s="27" t="n"/>
      <c r="FM103" s="27" t="n"/>
      <c r="FN103" s="27" t="n"/>
      <c r="FO103" s="27" t="n"/>
      <c r="FP103" s="27" t="n"/>
      <c r="FQ103" s="27" t="n"/>
      <c r="FR103" s="27" t="n"/>
      <c r="FS103" s="27" t="n"/>
      <c r="FT103" s="27" t="n"/>
      <c r="FU103" s="27" t="n"/>
      <c r="FV103" s="27" t="n"/>
      <c r="FW103" s="27" t="n"/>
      <c r="FX103" s="27" t="n"/>
      <c r="FY103" s="27" t="n"/>
      <c r="FZ103" s="27" t="n"/>
      <c r="GA103" s="27" t="n"/>
      <c r="GB103" s="27" t="n"/>
      <c r="GC103" s="27" t="n"/>
      <c r="GD103" s="27" t="n"/>
      <c r="GE103" s="27" t="n"/>
      <c r="GF103" s="27" t="n"/>
      <c r="GG103" s="27" t="n"/>
      <c r="GH103" s="27" t="n"/>
      <c r="GI103" s="27" t="n"/>
      <c r="GJ103" s="27" t="n"/>
      <c r="GK103" s="27" t="n"/>
      <c r="GL103" s="27" t="n"/>
      <c r="GM103" s="27" t="n"/>
      <c r="GN103" s="27" t="n"/>
      <c r="GO103" s="27" t="n"/>
      <c r="GP103" s="27" t="n"/>
      <c r="GQ103" s="27" t="n"/>
      <c r="GR103" s="27" t="n"/>
      <c r="GS103" s="27" t="n"/>
      <c r="GT103" s="27" t="n"/>
      <c r="GU103" s="27" t="n"/>
      <c r="GV103" s="27" t="n"/>
      <c r="GW103" s="27" t="n"/>
      <c r="GX103" s="27" t="n"/>
      <c r="GY103" s="27" t="n"/>
      <c r="GZ103" s="27" t="n"/>
      <c r="HA103" s="27" t="n"/>
      <c r="HB103" s="27" t="n"/>
      <c r="HC103" s="27" t="n"/>
      <c r="HD103" s="27" t="n"/>
      <c r="HE103" s="27" t="n"/>
      <c r="HF103" s="27" t="n"/>
      <c r="HG103" s="27" t="n"/>
      <c r="HH103" s="27" t="n"/>
      <c r="HI103" s="27" t="n"/>
      <c r="HJ103" s="27" t="n"/>
      <c r="HK103" s="27" t="n"/>
      <c r="HL103" s="27" t="n"/>
      <c r="HM103" s="27" t="n"/>
      <c r="HN103" s="27" t="n"/>
      <c r="HO103" s="27" t="n"/>
      <c r="HP103" s="27" t="n"/>
      <c r="HQ103" s="27" t="n"/>
      <c r="HR103" s="27" t="n"/>
      <c r="HS103" s="27" t="n"/>
      <c r="HT103" s="27" t="n"/>
      <c r="HU103" s="27" t="n"/>
      <c r="HV103" s="27" t="n"/>
      <c r="HW103" s="27" t="n"/>
      <c r="HX103" s="27" t="n"/>
      <c r="HY103" s="27" t="n"/>
      <c r="HZ103" s="27" t="n"/>
      <c r="IA103" s="27" t="n"/>
      <c r="IB103" s="27" t="n"/>
      <c r="IC103" s="27" t="n"/>
      <c r="ID103" s="27" t="n"/>
      <c r="IE103" s="27" t="n"/>
      <c r="IF103" s="27" t="n"/>
      <c r="IG103" s="27" t="n"/>
      <c r="IH103" s="27" t="n"/>
      <c r="II103" s="27" t="n"/>
      <c r="IJ103" s="27" t="n"/>
      <c r="IK103" s="27" t="n"/>
      <c r="IL103" s="27" t="n"/>
      <c r="IM103" s="27" t="n"/>
      <c r="IN103" s="27" t="n"/>
      <c r="IO103" s="27" t="n"/>
      <c r="IP103" s="27" t="n"/>
      <c r="IQ103" s="27" t="n"/>
      <c r="IR103" s="27" t="n"/>
      <c r="IS103" s="27" t="n"/>
      <c r="IT103" s="27" t="n"/>
      <c r="IU103" s="27" t="n"/>
      <c r="IV103" s="27" t="n"/>
    </row>
    <row r="104" ht="13" customHeight="1" s="195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  <c r="BU104" s="27" t="n"/>
      <c r="BV104" s="27" t="n"/>
      <c r="BW104" s="27" t="n"/>
      <c r="BX104" s="27" t="n"/>
      <c r="BY104" s="27" t="n"/>
      <c r="BZ104" s="27" t="n"/>
      <c r="CA104" s="27" t="n"/>
      <c r="CB104" s="27" t="n"/>
      <c r="CC104" s="27" t="n"/>
      <c r="CD104" s="27" t="n"/>
      <c r="CE104" s="27" t="n"/>
      <c r="CF104" s="27" t="n"/>
      <c r="CG104" s="27" t="n"/>
      <c r="CH104" s="27" t="n"/>
      <c r="CI104" s="27" t="n"/>
      <c r="CJ104" s="27" t="n"/>
      <c r="CK104" s="27" t="n"/>
      <c r="CL104" s="27" t="n"/>
      <c r="CM104" s="27" t="n"/>
      <c r="CN104" s="27" t="n"/>
      <c r="CO104" s="27" t="n"/>
      <c r="CP104" s="27" t="n"/>
      <c r="CQ104" s="27" t="n"/>
      <c r="CR104" s="27" t="n"/>
      <c r="CS104" s="27" t="n"/>
      <c r="CT104" s="27" t="n"/>
      <c r="CU104" s="27" t="n"/>
      <c r="CV104" s="27" t="n"/>
      <c r="CW104" s="27" t="n"/>
      <c r="CX104" s="27" t="n"/>
      <c r="CY104" s="27" t="n"/>
      <c r="CZ104" s="27" t="n"/>
      <c r="DA104" s="27" t="n"/>
      <c r="DB104" s="27" t="n"/>
      <c r="DC104" s="27" t="n"/>
      <c r="DD104" s="27" t="n"/>
      <c r="DE104" s="27" t="n"/>
      <c r="DF104" s="27" t="n"/>
      <c r="DG104" s="27" t="n"/>
      <c r="DH104" s="27" t="n"/>
      <c r="DI104" s="27" t="n"/>
      <c r="DJ104" s="27" t="n"/>
      <c r="DK104" s="27" t="n"/>
      <c r="DL104" s="27" t="n"/>
      <c r="DM104" s="27" t="n"/>
      <c r="DN104" s="27" t="n"/>
      <c r="DO104" s="27" t="n"/>
      <c r="DP104" s="27" t="n"/>
      <c r="DQ104" s="27" t="n"/>
      <c r="DR104" s="27" t="n"/>
      <c r="DS104" s="27" t="n"/>
      <c r="DT104" s="27" t="n"/>
      <c r="DU104" s="27" t="n"/>
      <c r="DV104" s="27" t="n"/>
      <c r="DW104" s="27" t="n"/>
      <c r="DX104" s="27" t="n"/>
      <c r="DY104" s="27" t="n"/>
      <c r="DZ104" s="27" t="n"/>
      <c r="EA104" s="27" t="n"/>
      <c r="EB104" s="27" t="n"/>
      <c r="EC104" s="27" t="n"/>
      <c r="ED104" s="27" t="n"/>
      <c r="EE104" s="27" t="n"/>
      <c r="EF104" s="27" t="n"/>
      <c r="EG104" s="27" t="n"/>
      <c r="EH104" s="27" t="n"/>
      <c r="EI104" s="27" t="n"/>
      <c r="EJ104" s="27" t="n"/>
      <c r="EK104" s="27" t="n"/>
      <c r="EL104" s="27" t="n"/>
      <c r="EM104" s="27" t="n"/>
      <c r="EN104" s="27" t="n"/>
      <c r="EO104" s="27" t="n"/>
      <c r="EP104" s="27" t="n"/>
      <c r="EQ104" s="27" t="n"/>
      <c r="ER104" s="27" t="n"/>
      <c r="ES104" s="27" t="n"/>
      <c r="ET104" s="27" t="n"/>
      <c r="EU104" s="27" t="n"/>
      <c r="EV104" s="27" t="n"/>
      <c r="EW104" s="27" t="n"/>
      <c r="EX104" s="27" t="n"/>
      <c r="EY104" s="27" t="n"/>
      <c r="EZ104" s="27" t="n"/>
      <c r="FA104" s="27" t="n"/>
      <c r="FB104" s="27" t="n"/>
      <c r="FC104" s="27" t="n"/>
      <c r="FD104" s="27" t="n"/>
      <c r="FE104" s="27" t="n"/>
      <c r="FF104" s="27" t="n"/>
      <c r="FG104" s="27" t="n"/>
      <c r="FH104" s="27" t="n"/>
      <c r="FI104" s="27" t="n"/>
      <c r="FJ104" s="27" t="n"/>
      <c r="FK104" s="27" t="n"/>
      <c r="FL104" s="27" t="n"/>
      <c r="FM104" s="27" t="n"/>
      <c r="FN104" s="27" t="n"/>
      <c r="FO104" s="27" t="n"/>
      <c r="FP104" s="27" t="n"/>
      <c r="FQ104" s="27" t="n"/>
      <c r="FR104" s="27" t="n"/>
      <c r="FS104" s="27" t="n"/>
      <c r="FT104" s="27" t="n"/>
      <c r="FU104" s="27" t="n"/>
      <c r="FV104" s="27" t="n"/>
      <c r="FW104" s="27" t="n"/>
      <c r="FX104" s="27" t="n"/>
      <c r="FY104" s="27" t="n"/>
      <c r="FZ104" s="27" t="n"/>
      <c r="GA104" s="27" t="n"/>
      <c r="GB104" s="27" t="n"/>
      <c r="GC104" s="27" t="n"/>
      <c r="GD104" s="27" t="n"/>
      <c r="GE104" s="27" t="n"/>
      <c r="GF104" s="27" t="n"/>
      <c r="GG104" s="27" t="n"/>
      <c r="GH104" s="27" t="n"/>
      <c r="GI104" s="27" t="n"/>
      <c r="GJ104" s="27" t="n"/>
      <c r="GK104" s="27" t="n"/>
      <c r="GL104" s="27" t="n"/>
      <c r="GM104" s="27" t="n"/>
      <c r="GN104" s="27" t="n"/>
      <c r="GO104" s="27" t="n"/>
      <c r="GP104" s="27" t="n"/>
      <c r="GQ104" s="27" t="n"/>
      <c r="GR104" s="27" t="n"/>
      <c r="GS104" s="27" t="n"/>
      <c r="GT104" s="27" t="n"/>
      <c r="GU104" s="27" t="n"/>
      <c r="GV104" s="27" t="n"/>
      <c r="GW104" s="27" t="n"/>
      <c r="GX104" s="27" t="n"/>
      <c r="GY104" s="27" t="n"/>
      <c r="GZ104" s="27" t="n"/>
      <c r="HA104" s="27" t="n"/>
      <c r="HB104" s="27" t="n"/>
      <c r="HC104" s="27" t="n"/>
      <c r="HD104" s="27" t="n"/>
      <c r="HE104" s="27" t="n"/>
      <c r="HF104" s="27" t="n"/>
      <c r="HG104" s="27" t="n"/>
      <c r="HH104" s="27" t="n"/>
      <c r="HI104" s="27" t="n"/>
      <c r="HJ104" s="27" t="n"/>
      <c r="HK104" s="27" t="n"/>
      <c r="HL104" s="27" t="n"/>
      <c r="HM104" s="27" t="n"/>
      <c r="HN104" s="27" t="n"/>
      <c r="HO104" s="27" t="n"/>
      <c r="HP104" s="27" t="n"/>
      <c r="HQ104" s="27" t="n"/>
      <c r="HR104" s="27" t="n"/>
      <c r="HS104" s="27" t="n"/>
      <c r="HT104" s="27" t="n"/>
      <c r="HU104" s="27" t="n"/>
      <c r="HV104" s="27" t="n"/>
      <c r="HW104" s="27" t="n"/>
      <c r="HX104" s="27" t="n"/>
      <c r="HY104" s="27" t="n"/>
      <c r="HZ104" s="27" t="n"/>
      <c r="IA104" s="27" t="n"/>
      <c r="IB104" s="27" t="n"/>
      <c r="IC104" s="27" t="n"/>
      <c r="ID104" s="27" t="n"/>
      <c r="IE104" s="27" t="n"/>
      <c r="IF104" s="27" t="n"/>
      <c r="IG104" s="27" t="n"/>
      <c r="IH104" s="27" t="n"/>
      <c r="II104" s="27" t="n"/>
      <c r="IJ104" s="27" t="n"/>
      <c r="IK104" s="27" t="n"/>
      <c r="IL104" s="27" t="n"/>
      <c r="IM104" s="27" t="n"/>
      <c r="IN104" s="27" t="n"/>
      <c r="IO104" s="27" t="n"/>
      <c r="IP104" s="27" t="n"/>
      <c r="IQ104" s="27" t="n"/>
      <c r="IR104" s="27" t="n"/>
      <c r="IS104" s="27" t="n"/>
      <c r="IT104" s="27" t="n"/>
      <c r="IU104" s="27" t="n"/>
      <c r="IV104" s="27" t="n"/>
    </row>
    <row r="105" ht="13" customHeight="1" s="195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  <c r="AA105" s="27" t="n"/>
      <c r="AB105" s="27" t="n"/>
      <c r="AC105" s="27" t="n"/>
      <c r="AD105" s="27" t="n"/>
      <c r="AE105" s="27" t="n"/>
      <c r="AF105" s="27" t="n"/>
      <c r="AG105" s="27" t="n"/>
      <c r="AH105" s="27" t="n"/>
      <c r="AI105" s="27" t="n"/>
      <c r="AJ105" s="27" t="n"/>
      <c r="AK105" s="27" t="n"/>
      <c r="AL105" s="27" t="n"/>
      <c r="AM105" s="27" t="n"/>
      <c r="AN105" s="27" t="n"/>
      <c r="AO105" s="27" t="n"/>
      <c r="AP105" s="27" t="n"/>
      <c r="AQ105" s="27" t="n"/>
      <c r="AR105" s="27" t="n"/>
      <c r="AS105" s="27" t="n"/>
      <c r="AT105" s="27" t="n"/>
      <c r="AU105" s="27" t="n"/>
      <c r="AV105" s="27" t="n"/>
      <c r="AW105" s="27" t="n"/>
      <c r="AX105" s="27" t="n"/>
      <c r="AY105" s="27" t="n"/>
      <c r="AZ105" s="27" t="n"/>
      <c r="BA105" s="27" t="n"/>
      <c r="BB105" s="27" t="n"/>
      <c r="BC105" s="27" t="n"/>
      <c r="BD105" s="27" t="n"/>
      <c r="BE105" s="27" t="n"/>
      <c r="BF105" s="27" t="n"/>
      <c r="BG105" s="27" t="n"/>
      <c r="BH105" s="27" t="n"/>
      <c r="BI105" s="27" t="n"/>
      <c r="BJ105" s="27" t="n"/>
      <c r="BK105" s="27" t="n"/>
      <c r="BL105" s="27" t="n"/>
      <c r="BM105" s="27" t="n"/>
      <c r="BN105" s="27" t="n"/>
      <c r="BO105" s="27" t="n"/>
      <c r="BP105" s="27" t="n"/>
      <c r="BQ105" s="27" t="n"/>
      <c r="BR105" s="27" t="n"/>
      <c r="BS105" s="27" t="n"/>
      <c r="BT105" s="27" t="n"/>
      <c r="BU105" s="27" t="n"/>
      <c r="BV105" s="27" t="n"/>
      <c r="BW105" s="27" t="n"/>
      <c r="BX105" s="27" t="n"/>
      <c r="BY105" s="27" t="n"/>
      <c r="BZ105" s="27" t="n"/>
      <c r="CA105" s="27" t="n"/>
      <c r="CB105" s="27" t="n"/>
      <c r="CC105" s="27" t="n"/>
      <c r="CD105" s="27" t="n"/>
      <c r="CE105" s="27" t="n"/>
      <c r="CF105" s="27" t="n"/>
      <c r="CG105" s="27" t="n"/>
      <c r="CH105" s="27" t="n"/>
      <c r="CI105" s="27" t="n"/>
      <c r="CJ105" s="27" t="n"/>
      <c r="CK105" s="27" t="n"/>
      <c r="CL105" s="27" t="n"/>
      <c r="CM105" s="27" t="n"/>
      <c r="CN105" s="27" t="n"/>
      <c r="CO105" s="27" t="n"/>
      <c r="CP105" s="27" t="n"/>
      <c r="CQ105" s="27" t="n"/>
      <c r="CR105" s="27" t="n"/>
      <c r="CS105" s="27" t="n"/>
      <c r="CT105" s="27" t="n"/>
      <c r="CU105" s="27" t="n"/>
      <c r="CV105" s="27" t="n"/>
      <c r="CW105" s="27" t="n"/>
      <c r="CX105" s="27" t="n"/>
      <c r="CY105" s="27" t="n"/>
      <c r="CZ105" s="27" t="n"/>
      <c r="DA105" s="27" t="n"/>
      <c r="DB105" s="27" t="n"/>
      <c r="DC105" s="27" t="n"/>
      <c r="DD105" s="27" t="n"/>
      <c r="DE105" s="27" t="n"/>
      <c r="DF105" s="27" t="n"/>
      <c r="DG105" s="27" t="n"/>
      <c r="DH105" s="27" t="n"/>
      <c r="DI105" s="27" t="n"/>
      <c r="DJ105" s="27" t="n"/>
      <c r="DK105" s="27" t="n"/>
      <c r="DL105" s="27" t="n"/>
      <c r="DM105" s="27" t="n"/>
      <c r="DN105" s="27" t="n"/>
      <c r="DO105" s="27" t="n"/>
      <c r="DP105" s="27" t="n"/>
      <c r="DQ105" s="27" t="n"/>
      <c r="DR105" s="27" t="n"/>
      <c r="DS105" s="27" t="n"/>
      <c r="DT105" s="27" t="n"/>
      <c r="DU105" s="27" t="n"/>
      <c r="DV105" s="27" t="n"/>
      <c r="DW105" s="27" t="n"/>
      <c r="DX105" s="27" t="n"/>
      <c r="DY105" s="27" t="n"/>
      <c r="DZ105" s="27" t="n"/>
      <c r="EA105" s="27" t="n"/>
      <c r="EB105" s="27" t="n"/>
      <c r="EC105" s="27" t="n"/>
      <c r="ED105" s="27" t="n"/>
      <c r="EE105" s="27" t="n"/>
      <c r="EF105" s="27" t="n"/>
      <c r="EG105" s="27" t="n"/>
      <c r="EH105" s="27" t="n"/>
      <c r="EI105" s="27" t="n"/>
      <c r="EJ105" s="27" t="n"/>
      <c r="EK105" s="27" t="n"/>
      <c r="EL105" s="27" t="n"/>
      <c r="EM105" s="27" t="n"/>
      <c r="EN105" s="27" t="n"/>
      <c r="EO105" s="27" t="n"/>
      <c r="EP105" s="27" t="n"/>
      <c r="EQ105" s="27" t="n"/>
      <c r="ER105" s="27" t="n"/>
      <c r="ES105" s="27" t="n"/>
      <c r="ET105" s="27" t="n"/>
      <c r="EU105" s="27" t="n"/>
      <c r="EV105" s="27" t="n"/>
      <c r="EW105" s="27" t="n"/>
      <c r="EX105" s="27" t="n"/>
      <c r="EY105" s="27" t="n"/>
      <c r="EZ105" s="27" t="n"/>
      <c r="FA105" s="27" t="n"/>
      <c r="FB105" s="27" t="n"/>
      <c r="FC105" s="27" t="n"/>
      <c r="FD105" s="27" t="n"/>
      <c r="FE105" s="27" t="n"/>
      <c r="FF105" s="27" t="n"/>
      <c r="FG105" s="27" t="n"/>
      <c r="FH105" s="27" t="n"/>
      <c r="FI105" s="27" t="n"/>
      <c r="FJ105" s="27" t="n"/>
      <c r="FK105" s="27" t="n"/>
      <c r="FL105" s="27" t="n"/>
      <c r="FM105" s="27" t="n"/>
      <c r="FN105" s="27" t="n"/>
      <c r="FO105" s="27" t="n"/>
      <c r="FP105" s="27" t="n"/>
      <c r="FQ105" s="27" t="n"/>
      <c r="FR105" s="27" t="n"/>
      <c r="FS105" s="27" t="n"/>
      <c r="FT105" s="27" t="n"/>
      <c r="FU105" s="27" t="n"/>
      <c r="FV105" s="27" t="n"/>
      <c r="FW105" s="27" t="n"/>
      <c r="FX105" s="27" t="n"/>
      <c r="FY105" s="27" t="n"/>
      <c r="FZ105" s="27" t="n"/>
      <c r="GA105" s="27" t="n"/>
      <c r="GB105" s="27" t="n"/>
      <c r="GC105" s="27" t="n"/>
      <c r="GD105" s="27" t="n"/>
      <c r="GE105" s="27" t="n"/>
      <c r="GF105" s="27" t="n"/>
      <c r="GG105" s="27" t="n"/>
      <c r="GH105" s="27" t="n"/>
      <c r="GI105" s="27" t="n"/>
      <c r="GJ105" s="27" t="n"/>
      <c r="GK105" s="27" t="n"/>
      <c r="GL105" s="27" t="n"/>
      <c r="GM105" s="27" t="n"/>
      <c r="GN105" s="27" t="n"/>
      <c r="GO105" s="27" t="n"/>
      <c r="GP105" s="27" t="n"/>
      <c r="GQ105" s="27" t="n"/>
      <c r="GR105" s="27" t="n"/>
      <c r="GS105" s="27" t="n"/>
      <c r="GT105" s="27" t="n"/>
      <c r="GU105" s="27" t="n"/>
      <c r="GV105" s="27" t="n"/>
      <c r="GW105" s="27" t="n"/>
      <c r="GX105" s="27" t="n"/>
      <c r="GY105" s="27" t="n"/>
      <c r="GZ105" s="27" t="n"/>
      <c r="HA105" s="27" t="n"/>
      <c r="HB105" s="27" t="n"/>
      <c r="HC105" s="27" t="n"/>
      <c r="HD105" s="27" t="n"/>
      <c r="HE105" s="27" t="n"/>
      <c r="HF105" s="27" t="n"/>
      <c r="HG105" s="27" t="n"/>
      <c r="HH105" s="27" t="n"/>
      <c r="HI105" s="27" t="n"/>
      <c r="HJ105" s="27" t="n"/>
      <c r="HK105" s="27" t="n"/>
      <c r="HL105" s="27" t="n"/>
      <c r="HM105" s="27" t="n"/>
      <c r="HN105" s="27" t="n"/>
      <c r="HO105" s="27" t="n"/>
      <c r="HP105" s="27" t="n"/>
      <c r="HQ105" s="27" t="n"/>
      <c r="HR105" s="27" t="n"/>
      <c r="HS105" s="27" t="n"/>
      <c r="HT105" s="27" t="n"/>
      <c r="HU105" s="27" t="n"/>
      <c r="HV105" s="27" t="n"/>
      <c r="HW105" s="27" t="n"/>
      <c r="HX105" s="27" t="n"/>
      <c r="HY105" s="27" t="n"/>
      <c r="HZ105" s="27" t="n"/>
      <c r="IA105" s="27" t="n"/>
      <c r="IB105" s="27" t="n"/>
      <c r="IC105" s="27" t="n"/>
      <c r="ID105" s="27" t="n"/>
      <c r="IE105" s="27" t="n"/>
      <c r="IF105" s="27" t="n"/>
      <c r="IG105" s="27" t="n"/>
      <c r="IH105" s="27" t="n"/>
      <c r="II105" s="27" t="n"/>
      <c r="IJ105" s="27" t="n"/>
      <c r="IK105" s="27" t="n"/>
      <c r="IL105" s="27" t="n"/>
      <c r="IM105" s="27" t="n"/>
      <c r="IN105" s="27" t="n"/>
      <c r="IO105" s="27" t="n"/>
      <c r="IP105" s="27" t="n"/>
      <c r="IQ105" s="27" t="n"/>
      <c r="IR105" s="27" t="n"/>
      <c r="IS105" s="27" t="n"/>
      <c r="IT105" s="27" t="n"/>
      <c r="IU105" s="27" t="n"/>
      <c r="IV105" s="27" t="n"/>
    </row>
    <row r="106" ht="13" customHeight="1" s="195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  <c r="BU106" s="27" t="n"/>
      <c r="BV106" s="27" t="n"/>
      <c r="BW106" s="27" t="n"/>
      <c r="BX106" s="27" t="n"/>
      <c r="BY106" s="27" t="n"/>
      <c r="BZ106" s="27" t="n"/>
      <c r="CA106" s="27" t="n"/>
      <c r="CB106" s="27" t="n"/>
      <c r="CC106" s="27" t="n"/>
      <c r="CD106" s="27" t="n"/>
      <c r="CE106" s="27" t="n"/>
      <c r="CF106" s="27" t="n"/>
      <c r="CG106" s="27" t="n"/>
      <c r="CH106" s="27" t="n"/>
      <c r="CI106" s="27" t="n"/>
      <c r="CJ106" s="27" t="n"/>
      <c r="CK106" s="27" t="n"/>
      <c r="CL106" s="27" t="n"/>
      <c r="CM106" s="27" t="n"/>
      <c r="CN106" s="27" t="n"/>
      <c r="CO106" s="27" t="n"/>
      <c r="CP106" s="27" t="n"/>
      <c r="CQ106" s="27" t="n"/>
      <c r="CR106" s="27" t="n"/>
      <c r="CS106" s="27" t="n"/>
      <c r="CT106" s="27" t="n"/>
      <c r="CU106" s="27" t="n"/>
      <c r="CV106" s="27" t="n"/>
      <c r="CW106" s="27" t="n"/>
      <c r="CX106" s="27" t="n"/>
      <c r="CY106" s="27" t="n"/>
      <c r="CZ106" s="27" t="n"/>
      <c r="DA106" s="27" t="n"/>
      <c r="DB106" s="27" t="n"/>
      <c r="DC106" s="27" t="n"/>
      <c r="DD106" s="27" t="n"/>
      <c r="DE106" s="27" t="n"/>
      <c r="DF106" s="27" t="n"/>
      <c r="DG106" s="27" t="n"/>
      <c r="DH106" s="27" t="n"/>
      <c r="DI106" s="27" t="n"/>
      <c r="DJ106" s="27" t="n"/>
      <c r="DK106" s="27" t="n"/>
      <c r="DL106" s="27" t="n"/>
      <c r="DM106" s="27" t="n"/>
      <c r="DN106" s="27" t="n"/>
      <c r="DO106" s="27" t="n"/>
      <c r="DP106" s="27" t="n"/>
      <c r="DQ106" s="27" t="n"/>
      <c r="DR106" s="27" t="n"/>
      <c r="DS106" s="27" t="n"/>
      <c r="DT106" s="27" t="n"/>
      <c r="DU106" s="27" t="n"/>
      <c r="DV106" s="27" t="n"/>
      <c r="DW106" s="27" t="n"/>
      <c r="DX106" s="27" t="n"/>
      <c r="DY106" s="27" t="n"/>
      <c r="DZ106" s="27" t="n"/>
      <c r="EA106" s="27" t="n"/>
      <c r="EB106" s="27" t="n"/>
      <c r="EC106" s="27" t="n"/>
      <c r="ED106" s="27" t="n"/>
      <c r="EE106" s="27" t="n"/>
      <c r="EF106" s="27" t="n"/>
      <c r="EG106" s="27" t="n"/>
      <c r="EH106" s="27" t="n"/>
      <c r="EI106" s="27" t="n"/>
      <c r="EJ106" s="27" t="n"/>
      <c r="EK106" s="27" t="n"/>
      <c r="EL106" s="27" t="n"/>
      <c r="EM106" s="27" t="n"/>
      <c r="EN106" s="27" t="n"/>
      <c r="EO106" s="27" t="n"/>
      <c r="EP106" s="27" t="n"/>
      <c r="EQ106" s="27" t="n"/>
      <c r="ER106" s="27" t="n"/>
      <c r="ES106" s="27" t="n"/>
      <c r="ET106" s="27" t="n"/>
      <c r="EU106" s="27" t="n"/>
      <c r="EV106" s="27" t="n"/>
      <c r="EW106" s="27" t="n"/>
      <c r="EX106" s="27" t="n"/>
      <c r="EY106" s="27" t="n"/>
      <c r="EZ106" s="27" t="n"/>
      <c r="FA106" s="27" t="n"/>
      <c r="FB106" s="27" t="n"/>
      <c r="FC106" s="27" t="n"/>
      <c r="FD106" s="27" t="n"/>
      <c r="FE106" s="27" t="n"/>
      <c r="FF106" s="27" t="n"/>
      <c r="FG106" s="27" t="n"/>
      <c r="FH106" s="27" t="n"/>
      <c r="FI106" s="27" t="n"/>
      <c r="FJ106" s="27" t="n"/>
      <c r="FK106" s="27" t="n"/>
      <c r="FL106" s="27" t="n"/>
      <c r="FM106" s="27" t="n"/>
      <c r="FN106" s="27" t="n"/>
      <c r="FO106" s="27" t="n"/>
      <c r="FP106" s="27" t="n"/>
      <c r="FQ106" s="27" t="n"/>
      <c r="FR106" s="27" t="n"/>
      <c r="FS106" s="27" t="n"/>
      <c r="FT106" s="27" t="n"/>
      <c r="FU106" s="27" t="n"/>
      <c r="FV106" s="27" t="n"/>
      <c r="FW106" s="27" t="n"/>
      <c r="FX106" s="27" t="n"/>
      <c r="FY106" s="27" t="n"/>
      <c r="FZ106" s="27" t="n"/>
      <c r="GA106" s="27" t="n"/>
      <c r="GB106" s="27" t="n"/>
      <c r="GC106" s="27" t="n"/>
      <c r="GD106" s="27" t="n"/>
      <c r="GE106" s="27" t="n"/>
      <c r="GF106" s="27" t="n"/>
      <c r="GG106" s="27" t="n"/>
      <c r="GH106" s="27" t="n"/>
      <c r="GI106" s="27" t="n"/>
      <c r="GJ106" s="27" t="n"/>
      <c r="GK106" s="27" t="n"/>
      <c r="GL106" s="27" t="n"/>
      <c r="GM106" s="27" t="n"/>
      <c r="GN106" s="27" t="n"/>
      <c r="GO106" s="27" t="n"/>
      <c r="GP106" s="27" t="n"/>
      <c r="GQ106" s="27" t="n"/>
      <c r="GR106" s="27" t="n"/>
      <c r="GS106" s="27" t="n"/>
      <c r="GT106" s="27" t="n"/>
      <c r="GU106" s="27" t="n"/>
      <c r="GV106" s="27" t="n"/>
      <c r="GW106" s="27" t="n"/>
      <c r="GX106" s="27" t="n"/>
      <c r="GY106" s="27" t="n"/>
      <c r="GZ106" s="27" t="n"/>
      <c r="HA106" s="27" t="n"/>
      <c r="HB106" s="27" t="n"/>
      <c r="HC106" s="27" t="n"/>
      <c r="HD106" s="27" t="n"/>
      <c r="HE106" s="27" t="n"/>
      <c r="HF106" s="27" t="n"/>
      <c r="HG106" s="27" t="n"/>
      <c r="HH106" s="27" t="n"/>
      <c r="HI106" s="27" t="n"/>
      <c r="HJ106" s="27" t="n"/>
      <c r="HK106" s="27" t="n"/>
      <c r="HL106" s="27" t="n"/>
      <c r="HM106" s="27" t="n"/>
      <c r="HN106" s="27" t="n"/>
      <c r="HO106" s="27" t="n"/>
      <c r="HP106" s="27" t="n"/>
      <c r="HQ106" s="27" t="n"/>
      <c r="HR106" s="27" t="n"/>
      <c r="HS106" s="27" t="n"/>
      <c r="HT106" s="27" t="n"/>
      <c r="HU106" s="27" t="n"/>
      <c r="HV106" s="27" t="n"/>
      <c r="HW106" s="27" t="n"/>
      <c r="HX106" s="27" t="n"/>
      <c r="HY106" s="27" t="n"/>
      <c r="HZ106" s="27" t="n"/>
      <c r="IA106" s="27" t="n"/>
      <c r="IB106" s="27" t="n"/>
      <c r="IC106" s="27" t="n"/>
      <c r="ID106" s="27" t="n"/>
      <c r="IE106" s="27" t="n"/>
      <c r="IF106" s="27" t="n"/>
      <c r="IG106" s="27" t="n"/>
      <c r="IH106" s="27" t="n"/>
      <c r="II106" s="27" t="n"/>
      <c r="IJ106" s="27" t="n"/>
      <c r="IK106" s="27" t="n"/>
      <c r="IL106" s="27" t="n"/>
      <c r="IM106" s="27" t="n"/>
      <c r="IN106" s="27" t="n"/>
      <c r="IO106" s="27" t="n"/>
      <c r="IP106" s="27" t="n"/>
      <c r="IQ106" s="27" t="n"/>
      <c r="IR106" s="27" t="n"/>
      <c r="IS106" s="27" t="n"/>
      <c r="IT106" s="27" t="n"/>
      <c r="IU106" s="27" t="n"/>
      <c r="IV106" s="27" t="n"/>
    </row>
    <row r="107" ht="13" customHeight="1" s="195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  <c r="AA107" s="27" t="n"/>
      <c r="AB107" s="27" t="n"/>
      <c r="AC107" s="27" t="n"/>
      <c r="AD107" s="27" t="n"/>
      <c r="AE107" s="27" t="n"/>
      <c r="AF107" s="27" t="n"/>
      <c r="AG107" s="27" t="n"/>
      <c r="AH107" s="27" t="n"/>
      <c r="AI107" s="27" t="n"/>
      <c r="AJ107" s="27" t="n"/>
      <c r="AK107" s="27" t="n"/>
      <c r="AL107" s="27" t="n"/>
      <c r="AM107" s="27" t="n"/>
      <c r="AN107" s="27" t="n"/>
      <c r="AO107" s="27" t="n"/>
      <c r="AP107" s="27" t="n"/>
      <c r="AQ107" s="27" t="n"/>
      <c r="AR107" s="27" t="n"/>
      <c r="AS107" s="27" t="n"/>
      <c r="AT107" s="27" t="n"/>
      <c r="AU107" s="27" t="n"/>
      <c r="AV107" s="27" t="n"/>
      <c r="AW107" s="27" t="n"/>
      <c r="AX107" s="27" t="n"/>
      <c r="AY107" s="27" t="n"/>
      <c r="AZ107" s="27" t="n"/>
      <c r="BA107" s="27" t="n"/>
      <c r="BB107" s="27" t="n"/>
      <c r="BC107" s="27" t="n"/>
      <c r="BD107" s="27" t="n"/>
      <c r="BE107" s="27" t="n"/>
      <c r="BF107" s="27" t="n"/>
      <c r="BG107" s="27" t="n"/>
      <c r="BH107" s="27" t="n"/>
      <c r="BI107" s="27" t="n"/>
      <c r="BJ107" s="27" t="n"/>
      <c r="BK107" s="27" t="n"/>
      <c r="BL107" s="27" t="n"/>
      <c r="BM107" s="27" t="n"/>
      <c r="BN107" s="27" t="n"/>
      <c r="BO107" s="27" t="n"/>
      <c r="BP107" s="27" t="n"/>
      <c r="BQ107" s="27" t="n"/>
      <c r="BR107" s="27" t="n"/>
      <c r="BS107" s="27" t="n"/>
      <c r="BT107" s="27" t="n"/>
      <c r="BU107" s="27" t="n"/>
      <c r="BV107" s="27" t="n"/>
      <c r="BW107" s="27" t="n"/>
      <c r="BX107" s="27" t="n"/>
      <c r="BY107" s="27" t="n"/>
      <c r="BZ107" s="27" t="n"/>
      <c r="CA107" s="27" t="n"/>
      <c r="CB107" s="27" t="n"/>
      <c r="CC107" s="27" t="n"/>
      <c r="CD107" s="27" t="n"/>
      <c r="CE107" s="27" t="n"/>
      <c r="CF107" s="27" t="n"/>
      <c r="CG107" s="27" t="n"/>
      <c r="CH107" s="27" t="n"/>
      <c r="CI107" s="27" t="n"/>
      <c r="CJ107" s="27" t="n"/>
      <c r="CK107" s="27" t="n"/>
      <c r="CL107" s="27" t="n"/>
      <c r="CM107" s="27" t="n"/>
      <c r="CN107" s="27" t="n"/>
      <c r="CO107" s="27" t="n"/>
      <c r="CP107" s="27" t="n"/>
      <c r="CQ107" s="27" t="n"/>
      <c r="CR107" s="27" t="n"/>
      <c r="CS107" s="27" t="n"/>
      <c r="CT107" s="27" t="n"/>
      <c r="CU107" s="27" t="n"/>
      <c r="CV107" s="27" t="n"/>
      <c r="CW107" s="27" t="n"/>
      <c r="CX107" s="27" t="n"/>
      <c r="CY107" s="27" t="n"/>
      <c r="CZ107" s="27" t="n"/>
      <c r="DA107" s="27" t="n"/>
      <c r="DB107" s="27" t="n"/>
      <c r="DC107" s="27" t="n"/>
      <c r="DD107" s="27" t="n"/>
      <c r="DE107" s="27" t="n"/>
      <c r="DF107" s="27" t="n"/>
      <c r="DG107" s="27" t="n"/>
      <c r="DH107" s="27" t="n"/>
      <c r="DI107" s="27" t="n"/>
      <c r="DJ107" s="27" t="n"/>
      <c r="DK107" s="27" t="n"/>
      <c r="DL107" s="27" t="n"/>
      <c r="DM107" s="27" t="n"/>
      <c r="DN107" s="27" t="n"/>
      <c r="DO107" s="27" t="n"/>
      <c r="DP107" s="27" t="n"/>
      <c r="DQ107" s="27" t="n"/>
      <c r="DR107" s="27" t="n"/>
      <c r="DS107" s="27" t="n"/>
      <c r="DT107" s="27" t="n"/>
      <c r="DU107" s="27" t="n"/>
      <c r="DV107" s="27" t="n"/>
      <c r="DW107" s="27" t="n"/>
      <c r="DX107" s="27" t="n"/>
      <c r="DY107" s="27" t="n"/>
      <c r="DZ107" s="27" t="n"/>
      <c r="EA107" s="27" t="n"/>
      <c r="EB107" s="27" t="n"/>
      <c r="EC107" s="27" t="n"/>
      <c r="ED107" s="27" t="n"/>
      <c r="EE107" s="27" t="n"/>
      <c r="EF107" s="27" t="n"/>
      <c r="EG107" s="27" t="n"/>
      <c r="EH107" s="27" t="n"/>
      <c r="EI107" s="27" t="n"/>
      <c r="EJ107" s="27" t="n"/>
      <c r="EK107" s="27" t="n"/>
      <c r="EL107" s="27" t="n"/>
      <c r="EM107" s="27" t="n"/>
      <c r="EN107" s="27" t="n"/>
      <c r="EO107" s="27" t="n"/>
      <c r="EP107" s="27" t="n"/>
      <c r="EQ107" s="27" t="n"/>
      <c r="ER107" s="27" t="n"/>
      <c r="ES107" s="27" t="n"/>
      <c r="ET107" s="27" t="n"/>
      <c r="EU107" s="27" t="n"/>
      <c r="EV107" s="27" t="n"/>
      <c r="EW107" s="27" t="n"/>
      <c r="EX107" s="27" t="n"/>
      <c r="EY107" s="27" t="n"/>
      <c r="EZ107" s="27" t="n"/>
      <c r="FA107" s="27" t="n"/>
      <c r="FB107" s="27" t="n"/>
      <c r="FC107" s="27" t="n"/>
      <c r="FD107" s="27" t="n"/>
      <c r="FE107" s="27" t="n"/>
      <c r="FF107" s="27" t="n"/>
      <c r="FG107" s="27" t="n"/>
      <c r="FH107" s="27" t="n"/>
      <c r="FI107" s="27" t="n"/>
      <c r="FJ107" s="27" t="n"/>
      <c r="FK107" s="27" t="n"/>
      <c r="FL107" s="27" t="n"/>
      <c r="FM107" s="27" t="n"/>
      <c r="FN107" s="27" t="n"/>
      <c r="FO107" s="27" t="n"/>
      <c r="FP107" s="27" t="n"/>
      <c r="FQ107" s="27" t="n"/>
      <c r="FR107" s="27" t="n"/>
      <c r="FS107" s="27" t="n"/>
      <c r="FT107" s="27" t="n"/>
      <c r="FU107" s="27" t="n"/>
      <c r="FV107" s="27" t="n"/>
      <c r="FW107" s="27" t="n"/>
      <c r="FX107" s="27" t="n"/>
      <c r="FY107" s="27" t="n"/>
      <c r="FZ107" s="27" t="n"/>
      <c r="GA107" s="27" t="n"/>
      <c r="GB107" s="27" t="n"/>
      <c r="GC107" s="27" t="n"/>
      <c r="GD107" s="27" t="n"/>
      <c r="GE107" s="27" t="n"/>
      <c r="GF107" s="27" t="n"/>
      <c r="GG107" s="27" t="n"/>
      <c r="GH107" s="27" t="n"/>
      <c r="GI107" s="27" t="n"/>
      <c r="GJ107" s="27" t="n"/>
      <c r="GK107" s="27" t="n"/>
      <c r="GL107" s="27" t="n"/>
      <c r="GM107" s="27" t="n"/>
      <c r="GN107" s="27" t="n"/>
      <c r="GO107" s="27" t="n"/>
      <c r="GP107" s="27" t="n"/>
      <c r="GQ107" s="27" t="n"/>
      <c r="GR107" s="27" t="n"/>
      <c r="GS107" s="27" t="n"/>
      <c r="GT107" s="27" t="n"/>
      <c r="GU107" s="27" t="n"/>
      <c r="GV107" s="27" t="n"/>
      <c r="GW107" s="27" t="n"/>
      <c r="GX107" s="27" t="n"/>
      <c r="GY107" s="27" t="n"/>
      <c r="GZ107" s="27" t="n"/>
      <c r="HA107" s="27" t="n"/>
      <c r="HB107" s="27" t="n"/>
      <c r="HC107" s="27" t="n"/>
      <c r="HD107" s="27" t="n"/>
      <c r="HE107" s="27" t="n"/>
      <c r="HF107" s="27" t="n"/>
      <c r="HG107" s="27" t="n"/>
      <c r="HH107" s="27" t="n"/>
      <c r="HI107" s="27" t="n"/>
      <c r="HJ107" s="27" t="n"/>
      <c r="HK107" s="27" t="n"/>
      <c r="HL107" s="27" t="n"/>
      <c r="HM107" s="27" t="n"/>
      <c r="HN107" s="27" t="n"/>
      <c r="HO107" s="27" t="n"/>
      <c r="HP107" s="27" t="n"/>
      <c r="HQ107" s="27" t="n"/>
      <c r="HR107" s="27" t="n"/>
      <c r="HS107" s="27" t="n"/>
      <c r="HT107" s="27" t="n"/>
      <c r="HU107" s="27" t="n"/>
      <c r="HV107" s="27" t="n"/>
      <c r="HW107" s="27" t="n"/>
      <c r="HX107" s="27" t="n"/>
      <c r="HY107" s="27" t="n"/>
      <c r="HZ107" s="27" t="n"/>
      <c r="IA107" s="27" t="n"/>
      <c r="IB107" s="27" t="n"/>
      <c r="IC107" s="27" t="n"/>
      <c r="ID107" s="27" t="n"/>
      <c r="IE107" s="27" t="n"/>
      <c r="IF107" s="27" t="n"/>
      <c r="IG107" s="27" t="n"/>
      <c r="IH107" s="27" t="n"/>
      <c r="II107" s="27" t="n"/>
      <c r="IJ107" s="27" t="n"/>
      <c r="IK107" s="27" t="n"/>
      <c r="IL107" s="27" t="n"/>
      <c r="IM107" s="27" t="n"/>
      <c r="IN107" s="27" t="n"/>
      <c r="IO107" s="27" t="n"/>
      <c r="IP107" s="27" t="n"/>
      <c r="IQ107" s="27" t="n"/>
      <c r="IR107" s="27" t="n"/>
      <c r="IS107" s="27" t="n"/>
      <c r="IT107" s="27" t="n"/>
      <c r="IU107" s="27" t="n"/>
      <c r="IV107" s="27" t="n"/>
    </row>
    <row r="108" ht="13" customHeight="1" s="195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  <c r="BU108" s="27" t="n"/>
      <c r="BV108" s="27" t="n"/>
      <c r="BW108" s="27" t="n"/>
      <c r="BX108" s="27" t="n"/>
      <c r="BY108" s="27" t="n"/>
      <c r="BZ108" s="27" t="n"/>
      <c r="CA108" s="27" t="n"/>
      <c r="CB108" s="27" t="n"/>
      <c r="CC108" s="27" t="n"/>
      <c r="CD108" s="27" t="n"/>
      <c r="CE108" s="27" t="n"/>
      <c r="CF108" s="27" t="n"/>
      <c r="CG108" s="27" t="n"/>
      <c r="CH108" s="27" t="n"/>
      <c r="CI108" s="27" t="n"/>
      <c r="CJ108" s="27" t="n"/>
      <c r="CK108" s="27" t="n"/>
      <c r="CL108" s="27" t="n"/>
      <c r="CM108" s="27" t="n"/>
      <c r="CN108" s="27" t="n"/>
      <c r="CO108" s="27" t="n"/>
      <c r="CP108" s="27" t="n"/>
      <c r="CQ108" s="27" t="n"/>
      <c r="CR108" s="27" t="n"/>
      <c r="CS108" s="27" t="n"/>
      <c r="CT108" s="27" t="n"/>
      <c r="CU108" s="27" t="n"/>
      <c r="CV108" s="27" t="n"/>
      <c r="CW108" s="27" t="n"/>
      <c r="CX108" s="27" t="n"/>
      <c r="CY108" s="27" t="n"/>
      <c r="CZ108" s="27" t="n"/>
      <c r="DA108" s="27" t="n"/>
      <c r="DB108" s="27" t="n"/>
      <c r="DC108" s="27" t="n"/>
      <c r="DD108" s="27" t="n"/>
      <c r="DE108" s="27" t="n"/>
      <c r="DF108" s="27" t="n"/>
      <c r="DG108" s="27" t="n"/>
      <c r="DH108" s="27" t="n"/>
      <c r="DI108" s="27" t="n"/>
      <c r="DJ108" s="27" t="n"/>
      <c r="DK108" s="27" t="n"/>
      <c r="DL108" s="27" t="n"/>
      <c r="DM108" s="27" t="n"/>
      <c r="DN108" s="27" t="n"/>
      <c r="DO108" s="27" t="n"/>
      <c r="DP108" s="27" t="n"/>
      <c r="DQ108" s="27" t="n"/>
      <c r="DR108" s="27" t="n"/>
      <c r="DS108" s="27" t="n"/>
      <c r="DT108" s="27" t="n"/>
      <c r="DU108" s="27" t="n"/>
      <c r="DV108" s="27" t="n"/>
      <c r="DW108" s="27" t="n"/>
      <c r="DX108" s="27" t="n"/>
      <c r="DY108" s="27" t="n"/>
      <c r="DZ108" s="27" t="n"/>
      <c r="EA108" s="27" t="n"/>
      <c r="EB108" s="27" t="n"/>
      <c r="EC108" s="27" t="n"/>
      <c r="ED108" s="27" t="n"/>
      <c r="EE108" s="27" t="n"/>
      <c r="EF108" s="27" t="n"/>
      <c r="EG108" s="27" t="n"/>
      <c r="EH108" s="27" t="n"/>
      <c r="EI108" s="27" t="n"/>
      <c r="EJ108" s="27" t="n"/>
      <c r="EK108" s="27" t="n"/>
      <c r="EL108" s="27" t="n"/>
      <c r="EM108" s="27" t="n"/>
      <c r="EN108" s="27" t="n"/>
      <c r="EO108" s="27" t="n"/>
      <c r="EP108" s="27" t="n"/>
      <c r="EQ108" s="27" t="n"/>
      <c r="ER108" s="27" t="n"/>
      <c r="ES108" s="27" t="n"/>
      <c r="ET108" s="27" t="n"/>
      <c r="EU108" s="27" t="n"/>
      <c r="EV108" s="27" t="n"/>
      <c r="EW108" s="27" t="n"/>
      <c r="EX108" s="27" t="n"/>
      <c r="EY108" s="27" t="n"/>
      <c r="EZ108" s="27" t="n"/>
      <c r="FA108" s="27" t="n"/>
      <c r="FB108" s="27" t="n"/>
      <c r="FC108" s="27" t="n"/>
      <c r="FD108" s="27" t="n"/>
      <c r="FE108" s="27" t="n"/>
      <c r="FF108" s="27" t="n"/>
      <c r="FG108" s="27" t="n"/>
      <c r="FH108" s="27" t="n"/>
      <c r="FI108" s="27" t="n"/>
      <c r="FJ108" s="27" t="n"/>
      <c r="FK108" s="27" t="n"/>
      <c r="FL108" s="27" t="n"/>
      <c r="FM108" s="27" t="n"/>
      <c r="FN108" s="27" t="n"/>
      <c r="FO108" s="27" t="n"/>
      <c r="FP108" s="27" t="n"/>
      <c r="FQ108" s="27" t="n"/>
      <c r="FR108" s="27" t="n"/>
      <c r="FS108" s="27" t="n"/>
      <c r="FT108" s="27" t="n"/>
      <c r="FU108" s="27" t="n"/>
      <c r="FV108" s="27" t="n"/>
      <c r="FW108" s="27" t="n"/>
      <c r="FX108" s="27" t="n"/>
      <c r="FY108" s="27" t="n"/>
      <c r="FZ108" s="27" t="n"/>
      <c r="GA108" s="27" t="n"/>
      <c r="GB108" s="27" t="n"/>
      <c r="GC108" s="27" t="n"/>
      <c r="GD108" s="27" t="n"/>
      <c r="GE108" s="27" t="n"/>
      <c r="GF108" s="27" t="n"/>
      <c r="GG108" s="27" t="n"/>
      <c r="GH108" s="27" t="n"/>
      <c r="GI108" s="27" t="n"/>
      <c r="GJ108" s="27" t="n"/>
      <c r="GK108" s="27" t="n"/>
      <c r="GL108" s="27" t="n"/>
      <c r="GM108" s="27" t="n"/>
      <c r="GN108" s="27" t="n"/>
      <c r="GO108" s="27" t="n"/>
      <c r="GP108" s="27" t="n"/>
      <c r="GQ108" s="27" t="n"/>
      <c r="GR108" s="27" t="n"/>
      <c r="GS108" s="27" t="n"/>
      <c r="GT108" s="27" t="n"/>
      <c r="GU108" s="27" t="n"/>
      <c r="GV108" s="27" t="n"/>
      <c r="GW108" s="27" t="n"/>
      <c r="GX108" s="27" t="n"/>
      <c r="GY108" s="27" t="n"/>
      <c r="GZ108" s="27" t="n"/>
      <c r="HA108" s="27" t="n"/>
      <c r="HB108" s="27" t="n"/>
      <c r="HC108" s="27" t="n"/>
      <c r="HD108" s="27" t="n"/>
      <c r="HE108" s="27" t="n"/>
      <c r="HF108" s="27" t="n"/>
      <c r="HG108" s="27" t="n"/>
      <c r="HH108" s="27" t="n"/>
      <c r="HI108" s="27" t="n"/>
      <c r="HJ108" s="27" t="n"/>
      <c r="HK108" s="27" t="n"/>
      <c r="HL108" s="27" t="n"/>
      <c r="HM108" s="27" t="n"/>
      <c r="HN108" s="27" t="n"/>
      <c r="HO108" s="27" t="n"/>
      <c r="HP108" s="27" t="n"/>
      <c r="HQ108" s="27" t="n"/>
      <c r="HR108" s="27" t="n"/>
      <c r="HS108" s="27" t="n"/>
      <c r="HT108" s="27" t="n"/>
      <c r="HU108" s="27" t="n"/>
      <c r="HV108" s="27" t="n"/>
      <c r="HW108" s="27" t="n"/>
      <c r="HX108" s="27" t="n"/>
      <c r="HY108" s="27" t="n"/>
      <c r="HZ108" s="27" t="n"/>
      <c r="IA108" s="27" t="n"/>
      <c r="IB108" s="27" t="n"/>
      <c r="IC108" s="27" t="n"/>
      <c r="ID108" s="27" t="n"/>
      <c r="IE108" s="27" t="n"/>
      <c r="IF108" s="27" t="n"/>
      <c r="IG108" s="27" t="n"/>
      <c r="IH108" s="27" t="n"/>
      <c r="II108" s="27" t="n"/>
      <c r="IJ108" s="27" t="n"/>
      <c r="IK108" s="27" t="n"/>
      <c r="IL108" s="27" t="n"/>
      <c r="IM108" s="27" t="n"/>
      <c r="IN108" s="27" t="n"/>
      <c r="IO108" s="27" t="n"/>
      <c r="IP108" s="27" t="n"/>
      <c r="IQ108" s="27" t="n"/>
      <c r="IR108" s="27" t="n"/>
      <c r="IS108" s="27" t="n"/>
      <c r="IT108" s="27" t="n"/>
      <c r="IU108" s="27" t="n"/>
      <c r="IV108" s="27" t="n"/>
    </row>
    <row r="109" ht="13" customHeight="1" s="195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  <c r="AA109" s="27" t="n"/>
      <c r="AB109" s="27" t="n"/>
      <c r="AC109" s="27" t="n"/>
      <c r="AD109" s="27" t="n"/>
      <c r="AE109" s="27" t="n"/>
      <c r="AF109" s="27" t="n"/>
      <c r="AG109" s="27" t="n"/>
      <c r="AH109" s="27" t="n"/>
      <c r="AI109" s="27" t="n"/>
      <c r="AJ109" s="27" t="n"/>
      <c r="AK109" s="27" t="n"/>
      <c r="AL109" s="27" t="n"/>
      <c r="AM109" s="27" t="n"/>
      <c r="AN109" s="27" t="n"/>
      <c r="AO109" s="27" t="n"/>
      <c r="AP109" s="27" t="n"/>
      <c r="AQ109" s="27" t="n"/>
      <c r="AR109" s="27" t="n"/>
      <c r="AS109" s="27" t="n"/>
      <c r="AT109" s="27" t="n"/>
      <c r="AU109" s="27" t="n"/>
      <c r="AV109" s="27" t="n"/>
      <c r="AW109" s="27" t="n"/>
      <c r="AX109" s="27" t="n"/>
      <c r="AY109" s="27" t="n"/>
      <c r="AZ109" s="27" t="n"/>
      <c r="BA109" s="27" t="n"/>
      <c r="BB109" s="27" t="n"/>
      <c r="BC109" s="27" t="n"/>
      <c r="BD109" s="27" t="n"/>
      <c r="BE109" s="27" t="n"/>
      <c r="BF109" s="27" t="n"/>
      <c r="BG109" s="27" t="n"/>
      <c r="BH109" s="27" t="n"/>
      <c r="BI109" s="27" t="n"/>
      <c r="BJ109" s="27" t="n"/>
      <c r="BK109" s="27" t="n"/>
      <c r="BL109" s="27" t="n"/>
      <c r="BM109" s="27" t="n"/>
      <c r="BN109" s="27" t="n"/>
      <c r="BO109" s="27" t="n"/>
      <c r="BP109" s="27" t="n"/>
      <c r="BQ109" s="27" t="n"/>
      <c r="BR109" s="27" t="n"/>
      <c r="BS109" s="27" t="n"/>
      <c r="BT109" s="27" t="n"/>
      <c r="BU109" s="27" t="n"/>
      <c r="BV109" s="27" t="n"/>
      <c r="BW109" s="27" t="n"/>
      <c r="BX109" s="27" t="n"/>
      <c r="BY109" s="27" t="n"/>
      <c r="BZ109" s="27" t="n"/>
      <c r="CA109" s="27" t="n"/>
      <c r="CB109" s="27" t="n"/>
      <c r="CC109" s="27" t="n"/>
      <c r="CD109" s="27" t="n"/>
      <c r="CE109" s="27" t="n"/>
      <c r="CF109" s="27" t="n"/>
      <c r="CG109" s="27" t="n"/>
      <c r="CH109" s="27" t="n"/>
      <c r="CI109" s="27" t="n"/>
      <c r="CJ109" s="27" t="n"/>
      <c r="CK109" s="27" t="n"/>
      <c r="CL109" s="27" t="n"/>
      <c r="CM109" s="27" t="n"/>
      <c r="CN109" s="27" t="n"/>
      <c r="CO109" s="27" t="n"/>
      <c r="CP109" s="27" t="n"/>
      <c r="CQ109" s="27" t="n"/>
      <c r="CR109" s="27" t="n"/>
      <c r="CS109" s="27" t="n"/>
      <c r="CT109" s="27" t="n"/>
      <c r="CU109" s="27" t="n"/>
      <c r="CV109" s="27" t="n"/>
      <c r="CW109" s="27" t="n"/>
      <c r="CX109" s="27" t="n"/>
      <c r="CY109" s="27" t="n"/>
      <c r="CZ109" s="27" t="n"/>
      <c r="DA109" s="27" t="n"/>
      <c r="DB109" s="27" t="n"/>
      <c r="DC109" s="27" t="n"/>
      <c r="DD109" s="27" t="n"/>
      <c r="DE109" s="27" t="n"/>
      <c r="DF109" s="27" t="n"/>
      <c r="DG109" s="27" t="n"/>
      <c r="DH109" s="27" t="n"/>
      <c r="DI109" s="27" t="n"/>
      <c r="DJ109" s="27" t="n"/>
      <c r="DK109" s="27" t="n"/>
      <c r="DL109" s="27" t="n"/>
      <c r="DM109" s="27" t="n"/>
      <c r="DN109" s="27" t="n"/>
      <c r="DO109" s="27" t="n"/>
      <c r="DP109" s="27" t="n"/>
      <c r="DQ109" s="27" t="n"/>
      <c r="DR109" s="27" t="n"/>
      <c r="DS109" s="27" t="n"/>
      <c r="DT109" s="27" t="n"/>
      <c r="DU109" s="27" t="n"/>
      <c r="DV109" s="27" t="n"/>
      <c r="DW109" s="27" t="n"/>
      <c r="DX109" s="27" t="n"/>
      <c r="DY109" s="27" t="n"/>
      <c r="DZ109" s="27" t="n"/>
      <c r="EA109" s="27" t="n"/>
      <c r="EB109" s="27" t="n"/>
      <c r="EC109" s="27" t="n"/>
      <c r="ED109" s="27" t="n"/>
      <c r="EE109" s="27" t="n"/>
      <c r="EF109" s="27" t="n"/>
      <c r="EG109" s="27" t="n"/>
      <c r="EH109" s="27" t="n"/>
      <c r="EI109" s="27" t="n"/>
      <c r="EJ109" s="27" t="n"/>
      <c r="EK109" s="27" t="n"/>
      <c r="EL109" s="27" t="n"/>
      <c r="EM109" s="27" t="n"/>
      <c r="EN109" s="27" t="n"/>
      <c r="EO109" s="27" t="n"/>
      <c r="EP109" s="27" t="n"/>
      <c r="EQ109" s="27" t="n"/>
      <c r="ER109" s="27" t="n"/>
      <c r="ES109" s="27" t="n"/>
      <c r="ET109" s="27" t="n"/>
      <c r="EU109" s="27" t="n"/>
      <c r="EV109" s="27" t="n"/>
      <c r="EW109" s="27" t="n"/>
      <c r="EX109" s="27" t="n"/>
      <c r="EY109" s="27" t="n"/>
      <c r="EZ109" s="27" t="n"/>
      <c r="FA109" s="27" t="n"/>
      <c r="FB109" s="27" t="n"/>
      <c r="FC109" s="27" t="n"/>
      <c r="FD109" s="27" t="n"/>
      <c r="FE109" s="27" t="n"/>
      <c r="FF109" s="27" t="n"/>
      <c r="FG109" s="27" t="n"/>
      <c r="FH109" s="27" t="n"/>
      <c r="FI109" s="27" t="n"/>
      <c r="FJ109" s="27" t="n"/>
      <c r="FK109" s="27" t="n"/>
      <c r="FL109" s="27" t="n"/>
      <c r="FM109" s="27" t="n"/>
      <c r="FN109" s="27" t="n"/>
      <c r="FO109" s="27" t="n"/>
      <c r="FP109" s="27" t="n"/>
      <c r="FQ109" s="27" t="n"/>
      <c r="FR109" s="27" t="n"/>
      <c r="FS109" s="27" t="n"/>
      <c r="FT109" s="27" t="n"/>
      <c r="FU109" s="27" t="n"/>
      <c r="FV109" s="27" t="n"/>
      <c r="FW109" s="27" t="n"/>
      <c r="FX109" s="27" t="n"/>
      <c r="FY109" s="27" t="n"/>
      <c r="FZ109" s="27" t="n"/>
      <c r="GA109" s="27" t="n"/>
      <c r="GB109" s="27" t="n"/>
      <c r="GC109" s="27" t="n"/>
      <c r="GD109" s="27" t="n"/>
      <c r="GE109" s="27" t="n"/>
      <c r="GF109" s="27" t="n"/>
      <c r="GG109" s="27" t="n"/>
      <c r="GH109" s="27" t="n"/>
      <c r="GI109" s="27" t="n"/>
      <c r="GJ109" s="27" t="n"/>
      <c r="GK109" s="27" t="n"/>
      <c r="GL109" s="27" t="n"/>
      <c r="GM109" s="27" t="n"/>
      <c r="GN109" s="27" t="n"/>
      <c r="GO109" s="27" t="n"/>
      <c r="GP109" s="27" t="n"/>
      <c r="GQ109" s="27" t="n"/>
      <c r="GR109" s="27" t="n"/>
      <c r="GS109" s="27" t="n"/>
      <c r="GT109" s="27" t="n"/>
      <c r="GU109" s="27" t="n"/>
      <c r="GV109" s="27" t="n"/>
      <c r="GW109" s="27" t="n"/>
      <c r="GX109" s="27" t="n"/>
      <c r="GY109" s="27" t="n"/>
      <c r="GZ109" s="27" t="n"/>
      <c r="HA109" s="27" t="n"/>
      <c r="HB109" s="27" t="n"/>
      <c r="HC109" s="27" t="n"/>
      <c r="HD109" s="27" t="n"/>
      <c r="HE109" s="27" t="n"/>
      <c r="HF109" s="27" t="n"/>
      <c r="HG109" s="27" t="n"/>
      <c r="HH109" s="27" t="n"/>
      <c r="HI109" s="27" t="n"/>
      <c r="HJ109" s="27" t="n"/>
      <c r="HK109" s="27" t="n"/>
      <c r="HL109" s="27" t="n"/>
      <c r="HM109" s="27" t="n"/>
      <c r="HN109" s="27" t="n"/>
      <c r="HO109" s="27" t="n"/>
      <c r="HP109" s="27" t="n"/>
      <c r="HQ109" s="27" t="n"/>
      <c r="HR109" s="27" t="n"/>
      <c r="HS109" s="27" t="n"/>
      <c r="HT109" s="27" t="n"/>
      <c r="HU109" s="27" t="n"/>
      <c r="HV109" s="27" t="n"/>
      <c r="HW109" s="27" t="n"/>
      <c r="HX109" s="27" t="n"/>
      <c r="HY109" s="27" t="n"/>
      <c r="HZ109" s="27" t="n"/>
      <c r="IA109" s="27" t="n"/>
      <c r="IB109" s="27" t="n"/>
      <c r="IC109" s="27" t="n"/>
      <c r="ID109" s="27" t="n"/>
      <c r="IE109" s="27" t="n"/>
      <c r="IF109" s="27" t="n"/>
      <c r="IG109" s="27" t="n"/>
      <c r="IH109" s="27" t="n"/>
      <c r="II109" s="27" t="n"/>
      <c r="IJ109" s="27" t="n"/>
      <c r="IK109" s="27" t="n"/>
      <c r="IL109" s="27" t="n"/>
      <c r="IM109" s="27" t="n"/>
      <c r="IN109" s="27" t="n"/>
      <c r="IO109" s="27" t="n"/>
      <c r="IP109" s="27" t="n"/>
      <c r="IQ109" s="27" t="n"/>
      <c r="IR109" s="27" t="n"/>
      <c r="IS109" s="27" t="n"/>
      <c r="IT109" s="27" t="n"/>
      <c r="IU109" s="27" t="n"/>
      <c r="IV109" s="27" t="n"/>
    </row>
    <row r="110" ht="13" customHeight="1" s="195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  <c r="AA110" s="27" t="n"/>
      <c r="AB110" s="27" t="n"/>
      <c r="AC110" s="27" t="n"/>
      <c r="AD110" s="27" t="n"/>
      <c r="AE110" s="27" t="n"/>
      <c r="AF110" s="27" t="n"/>
      <c r="AG110" s="27" t="n"/>
      <c r="AH110" s="27" t="n"/>
      <c r="AI110" s="27" t="n"/>
      <c r="AJ110" s="27" t="n"/>
      <c r="AK110" s="27" t="n"/>
      <c r="AL110" s="27" t="n"/>
      <c r="AM110" s="27" t="n"/>
      <c r="AN110" s="27" t="n"/>
      <c r="AO110" s="27" t="n"/>
      <c r="AP110" s="27" t="n"/>
      <c r="AQ110" s="27" t="n"/>
      <c r="AR110" s="27" t="n"/>
      <c r="AS110" s="27" t="n"/>
      <c r="AT110" s="27" t="n"/>
      <c r="AU110" s="27" t="n"/>
      <c r="AV110" s="27" t="n"/>
      <c r="AW110" s="27" t="n"/>
      <c r="AX110" s="27" t="n"/>
      <c r="AY110" s="27" t="n"/>
      <c r="AZ110" s="27" t="n"/>
      <c r="BA110" s="27" t="n"/>
      <c r="BB110" s="27" t="n"/>
      <c r="BC110" s="27" t="n"/>
      <c r="BD110" s="27" t="n"/>
      <c r="BE110" s="27" t="n"/>
      <c r="BF110" s="27" t="n"/>
      <c r="BG110" s="27" t="n"/>
      <c r="BH110" s="27" t="n"/>
      <c r="BI110" s="27" t="n"/>
      <c r="BJ110" s="27" t="n"/>
      <c r="BK110" s="27" t="n"/>
      <c r="BL110" s="27" t="n"/>
      <c r="BM110" s="27" t="n"/>
      <c r="BN110" s="27" t="n"/>
      <c r="BO110" s="27" t="n"/>
      <c r="BP110" s="27" t="n"/>
      <c r="BQ110" s="27" t="n"/>
      <c r="BR110" s="27" t="n"/>
      <c r="BS110" s="27" t="n"/>
      <c r="BT110" s="27" t="n"/>
      <c r="BU110" s="27" t="n"/>
      <c r="BV110" s="27" t="n"/>
      <c r="BW110" s="27" t="n"/>
      <c r="BX110" s="27" t="n"/>
      <c r="BY110" s="27" t="n"/>
      <c r="BZ110" s="27" t="n"/>
      <c r="CA110" s="27" t="n"/>
      <c r="CB110" s="27" t="n"/>
      <c r="CC110" s="27" t="n"/>
      <c r="CD110" s="27" t="n"/>
      <c r="CE110" s="27" t="n"/>
      <c r="CF110" s="27" t="n"/>
      <c r="CG110" s="27" t="n"/>
      <c r="CH110" s="27" t="n"/>
      <c r="CI110" s="27" t="n"/>
      <c r="CJ110" s="27" t="n"/>
      <c r="CK110" s="27" t="n"/>
      <c r="CL110" s="27" t="n"/>
      <c r="CM110" s="27" t="n"/>
      <c r="CN110" s="27" t="n"/>
      <c r="CO110" s="27" t="n"/>
      <c r="CP110" s="27" t="n"/>
      <c r="CQ110" s="27" t="n"/>
      <c r="CR110" s="27" t="n"/>
      <c r="CS110" s="27" t="n"/>
      <c r="CT110" s="27" t="n"/>
      <c r="CU110" s="27" t="n"/>
      <c r="CV110" s="27" t="n"/>
      <c r="CW110" s="27" t="n"/>
      <c r="CX110" s="27" t="n"/>
      <c r="CY110" s="27" t="n"/>
      <c r="CZ110" s="27" t="n"/>
      <c r="DA110" s="27" t="n"/>
      <c r="DB110" s="27" t="n"/>
      <c r="DC110" s="27" t="n"/>
      <c r="DD110" s="27" t="n"/>
      <c r="DE110" s="27" t="n"/>
      <c r="DF110" s="27" t="n"/>
      <c r="DG110" s="27" t="n"/>
      <c r="DH110" s="27" t="n"/>
      <c r="DI110" s="27" t="n"/>
      <c r="DJ110" s="27" t="n"/>
      <c r="DK110" s="27" t="n"/>
      <c r="DL110" s="27" t="n"/>
      <c r="DM110" s="27" t="n"/>
      <c r="DN110" s="27" t="n"/>
      <c r="DO110" s="27" t="n"/>
      <c r="DP110" s="27" t="n"/>
      <c r="DQ110" s="27" t="n"/>
      <c r="DR110" s="27" t="n"/>
      <c r="DS110" s="27" t="n"/>
      <c r="DT110" s="27" t="n"/>
      <c r="DU110" s="27" t="n"/>
      <c r="DV110" s="27" t="n"/>
      <c r="DW110" s="27" t="n"/>
      <c r="DX110" s="27" t="n"/>
      <c r="DY110" s="27" t="n"/>
      <c r="DZ110" s="27" t="n"/>
      <c r="EA110" s="27" t="n"/>
      <c r="EB110" s="27" t="n"/>
      <c r="EC110" s="27" t="n"/>
      <c r="ED110" s="27" t="n"/>
      <c r="EE110" s="27" t="n"/>
      <c r="EF110" s="27" t="n"/>
      <c r="EG110" s="27" t="n"/>
      <c r="EH110" s="27" t="n"/>
      <c r="EI110" s="27" t="n"/>
      <c r="EJ110" s="27" t="n"/>
      <c r="EK110" s="27" t="n"/>
      <c r="EL110" s="27" t="n"/>
      <c r="EM110" s="27" t="n"/>
      <c r="EN110" s="27" t="n"/>
      <c r="EO110" s="27" t="n"/>
      <c r="EP110" s="27" t="n"/>
      <c r="EQ110" s="27" t="n"/>
      <c r="ER110" s="27" t="n"/>
      <c r="ES110" s="27" t="n"/>
      <c r="ET110" s="27" t="n"/>
      <c r="EU110" s="27" t="n"/>
      <c r="EV110" s="27" t="n"/>
      <c r="EW110" s="27" t="n"/>
      <c r="EX110" s="27" t="n"/>
      <c r="EY110" s="27" t="n"/>
      <c r="EZ110" s="27" t="n"/>
      <c r="FA110" s="27" t="n"/>
      <c r="FB110" s="27" t="n"/>
      <c r="FC110" s="27" t="n"/>
      <c r="FD110" s="27" t="n"/>
      <c r="FE110" s="27" t="n"/>
      <c r="FF110" s="27" t="n"/>
      <c r="FG110" s="27" t="n"/>
      <c r="FH110" s="27" t="n"/>
      <c r="FI110" s="27" t="n"/>
      <c r="FJ110" s="27" t="n"/>
      <c r="FK110" s="27" t="n"/>
      <c r="FL110" s="27" t="n"/>
      <c r="FM110" s="27" t="n"/>
      <c r="FN110" s="27" t="n"/>
      <c r="FO110" s="27" t="n"/>
      <c r="FP110" s="27" t="n"/>
      <c r="FQ110" s="27" t="n"/>
      <c r="FR110" s="27" t="n"/>
      <c r="FS110" s="27" t="n"/>
      <c r="FT110" s="27" t="n"/>
      <c r="FU110" s="27" t="n"/>
      <c r="FV110" s="27" t="n"/>
      <c r="FW110" s="27" t="n"/>
      <c r="FX110" s="27" t="n"/>
      <c r="FY110" s="27" t="n"/>
      <c r="FZ110" s="27" t="n"/>
      <c r="GA110" s="27" t="n"/>
      <c r="GB110" s="27" t="n"/>
      <c r="GC110" s="27" t="n"/>
      <c r="GD110" s="27" t="n"/>
      <c r="GE110" s="27" t="n"/>
      <c r="GF110" s="27" t="n"/>
      <c r="GG110" s="27" t="n"/>
      <c r="GH110" s="27" t="n"/>
      <c r="GI110" s="27" t="n"/>
      <c r="GJ110" s="27" t="n"/>
      <c r="GK110" s="27" t="n"/>
      <c r="GL110" s="27" t="n"/>
      <c r="GM110" s="27" t="n"/>
      <c r="GN110" s="27" t="n"/>
      <c r="GO110" s="27" t="n"/>
      <c r="GP110" s="27" t="n"/>
      <c r="GQ110" s="27" t="n"/>
      <c r="GR110" s="27" t="n"/>
      <c r="GS110" s="27" t="n"/>
      <c r="GT110" s="27" t="n"/>
      <c r="GU110" s="27" t="n"/>
      <c r="GV110" s="27" t="n"/>
      <c r="GW110" s="27" t="n"/>
      <c r="GX110" s="27" t="n"/>
      <c r="GY110" s="27" t="n"/>
      <c r="GZ110" s="27" t="n"/>
      <c r="HA110" s="27" t="n"/>
      <c r="HB110" s="27" t="n"/>
      <c r="HC110" s="27" t="n"/>
      <c r="HD110" s="27" t="n"/>
      <c r="HE110" s="27" t="n"/>
      <c r="HF110" s="27" t="n"/>
      <c r="HG110" s="27" t="n"/>
      <c r="HH110" s="27" t="n"/>
      <c r="HI110" s="27" t="n"/>
      <c r="HJ110" s="27" t="n"/>
      <c r="HK110" s="27" t="n"/>
      <c r="HL110" s="27" t="n"/>
      <c r="HM110" s="27" t="n"/>
      <c r="HN110" s="27" t="n"/>
      <c r="HO110" s="27" t="n"/>
      <c r="HP110" s="27" t="n"/>
      <c r="HQ110" s="27" t="n"/>
      <c r="HR110" s="27" t="n"/>
      <c r="HS110" s="27" t="n"/>
      <c r="HT110" s="27" t="n"/>
      <c r="HU110" s="27" t="n"/>
      <c r="HV110" s="27" t="n"/>
      <c r="HW110" s="27" t="n"/>
      <c r="HX110" s="27" t="n"/>
      <c r="HY110" s="27" t="n"/>
      <c r="HZ110" s="27" t="n"/>
      <c r="IA110" s="27" t="n"/>
      <c r="IB110" s="27" t="n"/>
      <c r="IC110" s="27" t="n"/>
      <c r="ID110" s="27" t="n"/>
      <c r="IE110" s="27" t="n"/>
      <c r="IF110" s="27" t="n"/>
      <c r="IG110" s="27" t="n"/>
      <c r="IH110" s="27" t="n"/>
      <c r="II110" s="27" t="n"/>
      <c r="IJ110" s="27" t="n"/>
      <c r="IK110" s="27" t="n"/>
      <c r="IL110" s="27" t="n"/>
      <c r="IM110" s="27" t="n"/>
      <c r="IN110" s="27" t="n"/>
      <c r="IO110" s="27" t="n"/>
      <c r="IP110" s="27" t="n"/>
      <c r="IQ110" s="27" t="n"/>
      <c r="IR110" s="27" t="n"/>
      <c r="IS110" s="27" t="n"/>
      <c r="IT110" s="27" t="n"/>
      <c r="IU110" s="27" t="n"/>
      <c r="IV110" s="27" t="n"/>
    </row>
    <row r="111" ht="13" customHeight="1" s="195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  <c r="AA111" s="27" t="n"/>
      <c r="AB111" s="27" t="n"/>
      <c r="AC111" s="27" t="n"/>
      <c r="AD111" s="27" t="n"/>
      <c r="AE111" s="27" t="n"/>
      <c r="AF111" s="27" t="n"/>
      <c r="AG111" s="27" t="n"/>
      <c r="AH111" s="27" t="n"/>
      <c r="AI111" s="27" t="n"/>
      <c r="AJ111" s="27" t="n"/>
      <c r="AK111" s="27" t="n"/>
      <c r="AL111" s="27" t="n"/>
      <c r="AM111" s="27" t="n"/>
      <c r="AN111" s="27" t="n"/>
      <c r="AO111" s="27" t="n"/>
      <c r="AP111" s="27" t="n"/>
      <c r="AQ111" s="27" t="n"/>
      <c r="AR111" s="27" t="n"/>
      <c r="AS111" s="27" t="n"/>
      <c r="AT111" s="27" t="n"/>
      <c r="AU111" s="27" t="n"/>
      <c r="AV111" s="27" t="n"/>
      <c r="AW111" s="27" t="n"/>
      <c r="AX111" s="27" t="n"/>
      <c r="AY111" s="27" t="n"/>
      <c r="AZ111" s="27" t="n"/>
      <c r="BA111" s="27" t="n"/>
      <c r="BB111" s="27" t="n"/>
      <c r="BC111" s="27" t="n"/>
      <c r="BD111" s="27" t="n"/>
      <c r="BE111" s="27" t="n"/>
      <c r="BF111" s="27" t="n"/>
      <c r="BG111" s="27" t="n"/>
      <c r="BH111" s="27" t="n"/>
      <c r="BI111" s="27" t="n"/>
      <c r="BJ111" s="27" t="n"/>
      <c r="BK111" s="27" t="n"/>
      <c r="BL111" s="27" t="n"/>
      <c r="BM111" s="27" t="n"/>
      <c r="BN111" s="27" t="n"/>
      <c r="BO111" s="27" t="n"/>
      <c r="BP111" s="27" t="n"/>
      <c r="BQ111" s="27" t="n"/>
      <c r="BR111" s="27" t="n"/>
      <c r="BS111" s="27" t="n"/>
      <c r="BT111" s="27" t="n"/>
      <c r="BU111" s="27" t="n"/>
      <c r="BV111" s="27" t="n"/>
      <c r="BW111" s="27" t="n"/>
      <c r="BX111" s="27" t="n"/>
      <c r="BY111" s="27" t="n"/>
      <c r="BZ111" s="27" t="n"/>
      <c r="CA111" s="27" t="n"/>
      <c r="CB111" s="27" t="n"/>
      <c r="CC111" s="27" t="n"/>
      <c r="CD111" s="27" t="n"/>
      <c r="CE111" s="27" t="n"/>
      <c r="CF111" s="27" t="n"/>
      <c r="CG111" s="27" t="n"/>
      <c r="CH111" s="27" t="n"/>
      <c r="CI111" s="27" t="n"/>
      <c r="CJ111" s="27" t="n"/>
      <c r="CK111" s="27" t="n"/>
      <c r="CL111" s="27" t="n"/>
      <c r="CM111" s="27" t="n"/>
      <c r="CN111" s="27" t="n"/>
      <c r="CO111" s="27" t="n"/>
      <c r="CP111" s="27" t="n"/>
      <c r="CQ111" s="27" t="n"/>
      <c r="CR111" s="27" t="n"/>
      <c r="CS111" s="27" t="n"/>
      <c r="CT111" s="27" t="n"/>
      <c r="CU111" s="27" t="n"/>
      <c r="CV111" s="27" t="n"/>
      <c r="CW111" s="27" t="n"/>
      <c r="CX111" s="27" t="n"/>
      <c r="CY111" s="27" t="n"/>
      <c r="CZ111" s="27" t="n"/>
      <c r="DA111" s="27" t="n"/>
      <c r="DB111" s="27" t="n"/>
      <c r="DC111" s="27" t="n"/>
      <c r="DD111" s="27" t="n"/>
      <c r="DE111" s="27" t="n"/>
      <c r="DF111" s="27" t="n"/>
      <c r="DG111" s="27" t="n"/>
      <c r="DH111" s="27" t="n"/>
      <c r="DI111" s="27" t="n"/>
      <c r="DJ111" s="27" t="n"/>
      <c r="DK111" s="27" t="n"/>
      <c r="DL111" s="27" t="n"/>
      <c r="DM111" s="27" t="n"/>
      <c r="DN111" s="27" t="n"/>
      <c r="DO111" s="27" t="n"/>
      <c r="DP111" s="27" t="n"/>
      <c r="DQ111" s="27" t="n"/>
      <c r="DR111" s="27" t="n"/>
      <c r="DS111" s="27" t="n"/>
      <c r="DT111" s="27" t="n"/>
      <c r="DU111" s="27" t="n"/>
      <c r="DV111" s="27" t="n"/>
      <c r="DW111" s="27" t="n"/>
      <c r="DX111" s="27" t="n"/>
      <c r="DY111" s="27" t="n"/>
      <c r="DZ111" s="27" t="n"/>
      <c r="EA111" s="27" t="n"/>
      <c r="EB111" s="27" t="n"/>
      <c r="EC111" s="27" t="n"/>
      <c r="ED111" s="27" t="n"/>
      <c r="EE111" s="27" t="n"/>
      <c r="EF111" s="27" t="n"/>
      <c r="EG111" s="27" t="n"/>
      <c r="EH111" s="27" t="n"/>
      <c r="EI111" s="27" t="n"/>
      <c r="EJ111" s="27" t="n"/>
      <c r="EK111" s="27" t="n"/>
      <c r="EL111" s="27" t="n"/>
      <c r="EM111" s="27" t="n"/>
      <c r="EN111" s="27" t="n"/>
      <c r="EO111" s="27" t="n"/>
      <c r="EP111" s="27" t="n"/>
      <c r="EQ111" s="27" t="n"/>
      <c r="ER111" s="27" t="n"/>
      <c r="ES111" s="27" t="n"/>
      <c r="ET111" s="27" t="n"/>
      <c r="EU111" s="27" t="n"/>
      <c r="EV111" s="27" t="n"/>
      <c r="EW111" s="27" t="n"/>
      <c r="EX111" s="27" t="n"/>
      <c r="EY111" s="27" t="n"/>
      <c r="EZ111" s="27" t="n"/>
      <c r="FA111" s="27" t="n"/>
      <c r="FB111" s="27" t="n"/>
      <c r="FC111" s="27" t="n"/>
      <c r="FD111" s="27" t="n"/>
      <c r="FE111" s="27" t="n"/>
      <c r="FF111" s="27" t="n"/>
      <c r="FG111" s="27" t="n"/>
      <c r="FH111" s="27" t="n"/>
      <c r="FI111" s="27" t="n"/>
      <c r="FJ111" s="27" t="n"/>
      <c r="FK111" s="27" t="n"/>
      <c r="FL111" s="27" t="n"/>
      <c r="FM111" s="27" t="n"/>
      <c r="FN111" s="27" t="n"/>
      <c r="FO111" s="27" t="n"/>
      <c r="FP111" s="27" t="n"/>
      <c r="FQ111" s="27" t="n"/>
      <c r="FR111" s="27" t="n"/>
      <c r="FS111" s="27" t="n"/>
      <c r="FT111" s="27" t="n"/>
      <c r="FU111" s="27" t="n"/>
      <c r="FV111" s="27" t="n"/>
      <c r="FW111" s="27" t="n"/>
      <c r="FX111" s="27" t="n"/>
      <c r="FY111" s="27" t="n"/>
      <c r="FZ111" s="27" t="n"/>
      <c r="GA111" s="27" t="n"/>
      <c r="GB111" s="27" t="n"/>
      <c r="GC111" s="27" t="n"/>
      <c r="GD111" s="27" t="n"/>
      <c r="GE111" s="27" t="n"/>
      <c r="GF111" s="27" t="n"/>
      <c r="GG111" s="27" t="n"/>
      <c r="GH111" s="27" t="n"/>
      <c r="GI111" s="27" t="n"/>
      <c r="GJ111" s="27" t="n"/>
      <c r="GK111" s="27" t="n"/>
      <c r="GL111" s="27" t="n"/>
      <c r="GM111" s="27" t="n"/>
      <c r="GN111" s="27" t="n"/>
      <c r="GO111" s="27" t="n"/>
      <c r="GP111" s="27" t="n"/>
      <c r="GQ111" s="27" t="n"/>
      <c r="GR111" s="27" t="n"/>
      <c r="GS111" s="27" t="n"/>
      <c r="GT111" s="27" t="n"/>
      <c r="GU111" s="27" t="n"/>
      <c r="GV111" s="27" t="n"/>
      <c r="GW111" s="27" t="n"/>
      <c r="GX111" s="27" t="n"/>
      <c r="GY111" s="27" t="n"/>
      <c r="GZ111" s="27" t="n"/>
      <c r="HA111" s="27" t="n"/>
      <c r="HB111" s="27" t="n"/>
      <c r="HC111" s="27" t="n"/>
      <c r="HD111" s="27" t="n"/>
      <c r="HE111" s="27" t="n"/>
      <c r="HF111" s="27" t="n"/>
      <c r="HG111" s="27" t="n"/>
      <c r="HH111" s="27" t="n"/>
      <c r="HI111" s="27" t="n"/>
      <c r="HJ111" s="27" t="n"/>
      <c r="HK111" s="27" t="n"/>
      <c r="HL111" s="27" t="n"/>
      <c r="HM111" s="27" t="n"/>
      <c r="HN111" s="27" t="n"/>
      <c r="HO111" s="27" t="n"/>
      <c r="HP111" s="27" t="n"/>
      <c r="HQ111" s="27" t="n"/>
      <c r="HR111" s="27" t="n"/>
      <c r="HS111" s="27" t="n"/>
      <c r="HT111" s="27" t="n"/>
      <c r="HU111" s="27" t="n"/>
      <c r="HV111" s="27" t="n"/>
      <c r="HW111" s="27" t="n"/>
      <c r="HX111" s="27" t="n"/>
      <c r="HY111" s="27" t="n"/>
      <c r="HZ111" s="27" t="n"/>
      <c r="IA111" s="27" t="n"/>
      <c r="IB111" s="27" t="n"/>
      <c r="IC111" s="27" t="n"/>
      <c r="ID111" s="27" t="n"/>
      <c r="IE111" s="27" t="n"/>
      <c r="IF111" s="27" t="n"/>
      <c r="IG111" s="27" t="n"/>
      <c r="IH111" s="27" t="n"/>
      <c r="II111" s="27" t="n"/>
      <c r="IJ111" s="27" t="n"/>
      <c r="IK111" s="27" t="n"/>
      <c r="IL111" s="27" t="n"/>
      <c r="IM111" s="27" t="n"/>
      <c r="IN111" s="27" t="n"/>
      <c r="IO111" s="27" t="n"/>
      <c r="IP111" s="27" t="n"/>
      <c r="IQ111" s="27" t="n"/>
      <c r="IR111" s="27" t="n"/>
      <c r="IS111" s="27" t="n"/>
      <c r="IT111" s="27" t="n"/>
      <c r="IU111" s="27" t="n"/>
      <c r="IV111" s="27" t="n"/>
    </row>
    <row r="112" ht="13" customHeight="1" s="195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  <c r="BU112" s="27" t="n"/>
      <c r="BV112" s="27" t="n"/>
      <c r="BW112" s="27" t="n"/>
      <c r="BX112" s="27" t="n"/>
      <c r="BY112" s="27" t="n"/>
      <c r="BZ112" s="27" t="n"/>
      <c r="CA112" s="27" t="n"/>
      <c r="CB112" s="27" t="n"/>
      <c r="CC112" s="27" t="n"/>
      <c r="CD112" s="27" t="n"/>
      <c r="CE112" s="27" t="n"/>
      <c r="CF112" s="27" t="n"/>
      <c r="CG112" s="27" t="n"/>
      <c r="CH112" s="27" t="n"/>
      <c r="CI112" s="27" t="n"/>
      <c r="CJ112" s="27" t="n"/>
      <c r="CK112" s="27" t="n"/>
      <c r="CL112" s="27" t="n"/>
      <c r="CM112" s="27" t="n"/>
      <c r="CN112" s="27" t="n"/>
      <c r="CO112" s="27" t="n"/>
      <c r="CP112" s="27" t="n"/>
      <c r="CQ112" s="27" t="n"/>
      <c r="CR112" s="27" t="n"/>
      <c r="CS112" s="27" t="n"/>
      <c r="CT112" s="27" t="n"/>
      <c r="CU112" s="27" t="n"/>
      <c r="CV112" s="27" t="n"/>
      <c r="CW112" s="27" t="n"/>
      <c r="CX112" s="27" t="n"/>
      <c r="CY112" s="27" t="n"/>
      <c r="CZ112" s="27" t="n"/>
      <c r="DA112" s="27" t="n"/>
      <c r="DB112" s="27" t="n"/>
      <c r="DC112" s="27" t="n"/>
      <c r="DD112" s="27" t="n"/>
      <c r="DE112" s="27" t="n"/>
      <c r="DF112" s="27" t="n"/>
      <c r="DG112" s="27" t="n"/>
      <c r="DH112" s="27" t="n"/>
      <c r="DI112" s="27" t="n"/>
      <c r="DJ112" s="27" t="n"/>
      <c r="DK112" s="27" t="n"/>
      <c r="DL112" s="27" t="n"/>
      <c r="DM112" s="27" t="n"/>
      <c r="DN112" s="27" t="n"/>
      <c r="DO112" s="27" t="n"/>
      <c r="DP112" s="27" t="n"/>
      <c r="DQ112" s="27" t="n"/>
      <c r="DR112" s="27" t="n"/>
      <c r="DS112" s="27" t="n"/>
      <c r="DT112" s="27" t="n"/>
      <c r="DU112" s="27" t="n"/>
      <c r="DV112" s="27" t="n"/>
      <c r="DW112" s="27" t="n"/>
      <c r="DX112" s="27" t="n"/>
      <c r="DY112" s="27" t="n"/>
      <c r="DZ112" s="27" t="n"/>
      <c r="EA112" s="27" t="n"/>
      <c r="EB112" s="27" t="n"/>
      <c r="EC112" s="27" t="n"/>
      <c r="ED112" s="27" t="n"/>
      <c r="EE112" s="27" t="n"/>
      <c r="EF112" s="27" t="n"/>
      <c r="EG112" s="27" t="n"/>
      <c r="EH112" s="27" t="n"/>
      <c r="EI112" s="27" t="n"/>
      <c r="EJ112" s="27" t="n"/>
      <c r="EK112" s="27" t="n"/>
      <c r="EL112" s="27" t="n"/>
      <c r="EM112" s="27" t="n"/>
      <c r="EN112" s="27" t="n"/>
      <c r="EO112" s="27" t="n"/>
      <c r="EP112" s="27" t="n"/>
      <c r="EQ112" s="27" t="n"/>
      <c r="ER112" s="27" t="n"/>
      <c r="ES112" s="27" t="n"/>
      <c r="ET112" s="27" t="n"/>
      <c r="EU112" s="27" t="n"/>
      <c r="EV112" s="27" t="n"/>
      <c r="EW112" s="27" t="n"/>
      <c r="EX112" s="27" t="n"/>
      <c r="EY112" s="27" t="n"/>
      <c r="EZ112" s="27" t="n"/>
      <c r="FA112" s="27" t="n"/>
      <c r="FB112" s="27" t="n"/>
      <c r="FC112" s="27" t="n"/>
      <c r="FD112" s="27" t="n"/>
      <c r="FE112" s="27" t="n"/>
      <c r="FF112" s="27" t="n"/>
      <c r="FG112" s="27" t="n"/>
      <c r="FH112" s="27" t="n"/>
      <c r="FI112" s="27" t="n"/>
      <c r="FJ112" s="27" t="n"/>
      <c r="FK112" s="27" t="n"/>
      <c r="FL112" s="27" t="n"/>
      <c r="FM112" s="27" t="n"/>
      <c r="FN112" s="27" t="n"/>
      <c r="FO112" s="27" t="n"/>
      <c r="FP112" s="27" t="n"/>
      <c r="FQ112" s="27" t="n"/>
      <c r="FR112" s="27" t="n"/>
      <c r="FS112" s="27" t="n"/>
      <c r="FT112" s="27" t="n"/>
      <c r="FU112" s="27" t="n"/>
      <c r="FV112" s="27" t="n"/>
      <c r="FW112" s="27" t="n"/>
      <c r="FX112" s="27" t="n"/>
      <c r="FY112" s="27" t="n"/>
      <c r="FZ112" s="27" t="n"/>
      <c r="GA112" s="27" t="n"/>
      <c r="GB112" s="27" t="n"/>
      <c r="GC112" s="27" t="n"/>
      <c r="GD112" s="27" t="n"/>
      <c r="GE112" s="27" t="n"/>
      <c r="GF112" s="27" t="n"/>
      <c r="GG112" s="27" t="n"/>
      <c r="GH112" s="27" t="n"/>
      <c r="GI112" s="27" t="n"/>
      <c r="GJ112" s="27" t="n"/>
      <c r="GK112" s="27" t="n"/>
      <c r="GL112" s="27" t="n"/>
      <c r="GM112" s="27" t="n"/>
      <c r="GN112" s="27" t="n"/>
      <c r="GO112" s="27" t="n"/>
      <c r="GP112" s="27" t="n"/>
      <c r="GQ112" s="27" t="n"/>
      <c r="GR112" s="27" t="n"/>
      <c r="GS112" s="27" t="n"/>
      <c r="GT112" s="27" t="n"/>
      <c r="GU112" s="27" t="n"/>
      <c r="GV112" s="27" t="n"/>
      <c r="GW112" s="27" t="n"/>
      <c r="GX112" s="27" t="n"/>
      <c r="GY112" s="27" t="n"/>
      <c r="GZ112" s="27" t="n"/>
      <c r="HA112" s="27" t="n"/>
      <c r="HB112" s="27" t="n"/>
      <c r="HC112" s="27" t="n"/>
      <c r="HD112" s="27" t="n"/>
      <c r="HE112" s="27" t="n"/>
      <c r="HF112" s="27" t="n"/>
      <c r="HG112" s="27" t="n"/>
      <c r="HH112" s="27" t="n"/>
      <c r="HI112" s="27" t="n"/>
      <c r="HJ112" s="27" t="n"/>
      <c r="HK112" s="27" t="n"/>
      <c r="HL112" s="27" t="n"/>
      <c r="HM112" s="27" t="n"/>
      <c r="HN112" s="27" t="n"/>
      <c r="HO112" s="27" t="n"/>
      <c r="HP112" s="27" t="n"/>
      <c r="HQ112" s="27" t="n"/>
      <c r="HR112" s="27" t="n"/>
      <c r="HS112" s="27" t="n"/>
      <c r="HT112" s="27" t="n"/>
      <c r="HU112" s="27" t="n"/>
      <c r="HV112" s="27" t="n"/>
      <c r="HW112" s="27" t="n"/>
      <c r="HX112" s="27" t="n"/>
      <c r="HY112" s="27" t="n"/>
      <c r="HZ112" s="27" t="n"/>
      <c r="IA112" s="27" t="n"/>
      <c r="IB112" s="27" t="n"/>
      <c r="IC112" s="27" t="n"/>
      <c r="ID112" s="27" t="n"/>
      <c r="IE112" s="27" t="n"/>
      <c r="IF112" s="27" t="n"/>
      <c r="IG112" s="27" t="n"/>
      <c r="IH112" s="27" t="n"/>
      <c r="II112" s="27" t="n"/>
      <c r="IJ112" s="27" t="n"/>
      <c r="IK112" s="27" t="n"/>
      <c r="IL112" s="27" t="n"/>
      <c r="IM112" s="27" t="n"/>
      <c r="IN112" s="27" t="n"/>
      <c r="IO112" s="27" t="n"/>
      <c r="IP112" s="27" t="n"/>
      <c r="IQ112" s="27" t="n"/>
      <c r="IR112" s="27" t="n"/>
      <c r="IS112" s="27" t="n"/>
      <c r="IT112" s="27" t="n"/>
      <c r="IU112" s="27" t="n"/>
      <c r="IV112" s="27" t="n"/>
    </row>
    <row r="113" ht="13" customHeight="1" s="195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  <c r="AA113" s="27" t="n"/>
      <c r="AB113" s="27" t="n"/>
      <c r="AC113" s="27" t="n"/>
      <c r="AD113" s="27" t="n"/>
      <c r="AE113" s="27" t="n"/>
      <c r="AF113" s="27" t="n"/>
      <c r="AG113" s="27" t="n"/>
      <c r="AH113" s="27" t="n"/>
      <c r="AI113" s="27" t="n"/>
      <c r="AJ113" s="27" t="n"/>
      <c r="AK113" s="27" t="n"/>
      <c r="AL113" s="27" t="n"/>
      <c r="AM113" s="27" t="n"/>
      <c r="AN113" s="27" t="n"/>
      <c r="AO113" s="27" t="n"/>
      <c r="AP113" s="27" t="n"/>
      <c r="AQ113" s="27" t="n"/>
      <c r="AR113" s="27" t="n"/>
      <c r="AS113" s="27" t="n"/>
      <c r="AT113" s="27" t="n"/>
      <c r="AU113" s="27" t="n"/>
      <c r="AV113" s="27" t="n"/>
      <c r="AW113" s="27" t="n"/>
      <c r="AX113" s="27" t="n"/>
      <c r="AY113" s="27" t="n"/>
      <c r="AZ113" s="27" t="n"/>
      <c r="BA113" s="27" t="n"/>
      <c r="BB113" s="27" t="n"/>
      <c r="BC113" s="27" t="n"/>
      <c r="BD113" s="27" t="n"/>
      <c r="BE113" s="27" t="n"/>
      <c r="BF113" s="27" t="n"/>
      <c r="BG113" s="27" t="n"/>
      <c r="BH113" s="27" t="n"/>
      <c r="BI113" s="27" t="n"/>
      <c r="BJ113" s="27" t="n"/>
      <c r="BK113" s="27" t="n"/>
      <c r="BL113" s="27" t="n"/>
      <c r="BM113" s="27" t="n"/>
      <c r="BN113" s="27" t="n"/>
      <c r="BO113" s="27" t="n"/>
      <c r="BP113" s="27" t="n"/>
      <c r="BQ113" s="27" t="n"/>
      <c r="BR113" s="27" t="n"/>
      <c r="BS113" s="27" t="n"/>
      <c r="BT113" s="27" t="n"/>
      <c r="BU113" s="27" t="n"/>
      <c r="BV113" s="27" t="n"/>
      <c r="BW113" s="27" t="n"/>
      <c r="BX113" s="27" t="n"/>
      <c r="BY113" s="27" t="n"/>
      <c r="BZ113" s="27" t="n"/>
      <c r="CA113" s="27" t="n"/>
      <c r="CB113" s="27" t="n"/>
      <c r="CC113" s="27" t="n"/>
      <c r="CD113" s="27" t="n"/>
      <c r="CE113" s="27" t="n"/>
      <c r="CF113" s="27" t="n"/>
      <c r="CG113" s="27" t="n"/>
      <c r="CH113" s="27" t="n"/>
      <c r="CI113" s="27" t="n"/>
      <c r="CJ113" s="27" t="n"/>
      <c r="CK113" s="27" t="n"/>
      <c r="CL113" s="27" t="n"/>
      <c r="CM113" s="27" t="n"/>
      <c r="CN113" s="27" t="n"/>
      <c r="CO113" s="27" t="n"/>
      <c r="CP113" s="27" t="n"/>
      <c r="CQ113" s="27" t="n"/>
      <c r="CR113" s="27" t="n"/>
      <c r="CS113" s="27" t="n"/>
      <c r="CT113" s="27" t="n"/>
      <c r="CU113" s="27" t="n"/>
      <c r="CV113" s="27" t="n"/>
      <c r="CW113" s="27" t="n"/>
      <c r="CX113" s="27" t="n"/>
      <c r="CY113" s="27" t="n"/>
      <c r="CZ113" s="27" t="n"/>
      <c r="DA113" s="27" t="n"/>
      <c r="DB113" s="27" t="n"/>
      <c r="DC113" s="27" t="n"/>
      <c r="DD113" s="27" t="n"/>
      <c r="DE113" s="27" t="n"/>
      <c r="DF113" s="27" t="n"/>
      <c r="DG113" s="27" t="n"/>
      <c r="DH113" s="27" t="n"/>
      <c r="DI113" s="27" t="n"/>
      <c r="DJ113" s="27" t="n"/>
      <c r="DK113" s="27" t="n"/>
      <c r="DL113" s="27" t="n"/>
      <c r="DM113" s="27" t="n"/>
      <c r="DN113" s="27" t="n"/>
      <c r="DO113" s="27" t="n"/>
      <c r="DP113" s="27" t="n"/>
      <c r="DQ113" s="27" t="n"/>
      <c r="DR113" s="27" t="n"/>
      <c r="DS113" s="27" t="n"/>
      <c r="DT113" s="27" t="n"/>
      <c r="DU113" s="27" t="n"/>
      <c r="DV113" s="27" t="n"/>
      <c r="DW113" s="27" t="n"/>
      <c r="DX113" s="27" t="n"/>
      <c r="DY113" s="27" t="n"/>
      <c r="DZ113" s="27" t="n"/>
      <c r="EA113" s="27" t="n"/>
      <c r="EB113" s="27" t="n"/>
      <c r="EC113" s="27" t="n"/>
      <c r="ED113" s="27" t="n"/>
      <c r="EE113" s="27" t="n"/>
      <c r="EF113" s="27" t="n"/>
      <c r="EG113" s="27" t="n"/>
      <c r="EH113" s="27" t="n"/>
      <c r="EI113" s="27" t="n"/>
      <c r="EJ113" s="27" t="n"/>
      <c r="EK113" s="27" t="n"/>
      <c r="EL113" s="27" t="n"/>
      <c r="EM113" s="27" t="n"/>
      <c r="EN113" s="27" t="n"/>
      <c r="EO113" s="27" t="n"/>
      <c r="EP113" s="27" t="n"/>
      <c r="EQ113" s="27" t="n"/>
      <c r="ER113" s="27" t="n"/>
      <c r="ES113" s="27" t="n"/>
      <c r="ET113" s="27" t="n"/>
      <c r="EU113" s="27" t="n"/>
      <c r="EV113" s="27" t="n"/>
      <c r="EW113" s="27" t="n"/>
      <c r="EX113" s="27" t="n"/>
      <c r="EY113" s="27" t="n"/>
      <c r="EZ113" s="27" t="n"/>
      <c r="FA113" s="27" t="n"/>
      <c r="FB113" s="27" t="n"/>
      <c r="FC113" s="27" t="n"/>
      <c r="FD113" s="27" t="n"/>
      <c r="FE113" s="27" t="n"/>
      <c r="FF113" s="27" t="n"/>
      <c r="FG113" s="27" t="n"/>
      <c r="FH113" s="27" t="n"/>
      <c r="FI113" s="27" t="n"/>
      <c r="FJ113" s="27" t="n"/>
      <c r="FK113" s="27" t="n"/>
      <c r="FL113" s="27" t="n"/>
      <c r="FM113" s="27" t="n"/>
      <c r="FN113" s="27" t="n"/>
      <c r="FO113" s="27" t="n"/>
      <c r="FP113" s="27" t="n"/>
      <c r="FQ113" s="27" t="n"/>
      <c r="FR113" s="27" t="n"/>
      <c r="FS113" s="27" t="n"/>
      <c r="FT113" s="27" t="n"/>
      <c r="FU113" s="27" t="n"/>
      <c r="FV113" s="27" t="n"/>
      <c r="FW113" s="27" t="n"/>
      <c r="FX113" s="27" t="n"/>
      <c r="FY113" s="27" t="n"/>
      <c r="FZ113" s="27" t="n"/>
      <c r="GA113" s="27" t="n"/>
      <c r="GB113" s="27" t="n"/>
      <c r="GC113" s="27" t="n"/>
      <c r="GD113" s="27" t="n"/>
      <c r="GE113" s="27" t="n"/>
      <c r="GF113" s="27" t="n"/>
      <c r="GG113" s="27" t="n"/>
      <c r="GH113" s="27" t="n"/>
      <c r="GI113" s="27" t="n"/>
      <c r="GJ113" s="27" t="n"/>
      <c r="GK113" s="27" t="n"/>
      <c r="GL113" s="27" t="n"/>
      <c r="GM113" s="27" t="n"/>
      <c r="GN113" s="27" t="n"/>
      <c r="GO113" s="27" t="n"/>
      <c r="GP113" s="27" t="n"/>
      <c r="GQ113" s="27" t="n"/>
      <c r="GR113" s="27" t="n"/>
      <c r="GS113" s="27" t="n"/>
      <c r="GT113" s="27" t="n"/>
      <c r="GU113" s="27" t="n"/>
      <c r="GV113" s="27" t="n"/>
      <c r="GW113" s="27" t="n"/>
      <c r="GX113" s="27" t="n"/>
      <c r="GY113" s="27" t="n"/>
      <c r="GZ113" s="27" t="n"/>
      <c r="HA113" s="27" t="n"/>
      <c r="HB113" s="27" t="n"/>
      <c r="HC113" s="27" t="n"/>
      <c r="HD113" s="27" t="n"/>
      <c r="HE113" s="27" t="n"/>
      <c r="HF113" s="27" t="n"/>
      <c r="HG113" s="27" t="n"/>
      <c r="HH113" s="27" t="n"/>
      <c r="HI113" s="27" t="n"/>
      <c r="HJ113" s="27" t="n"/>
      <c r="HK113" s="27" t="n"/>
      <c r="HL113" s="27" t="n"/>
      <c r="HM113" s="27" t="n"/>
      <c r="HN113" s="27" t="n"/>
      <c r="HO113" s="27" t="n"/>
      <c r="HP113" s="27" t="n"/>
      <c r="HQ113" s="27" t="n"/>
      <c r="HR113" s="27" t="n"/>
      <c r="HS113" s="27" t="n"/>
      <c r="HT113" s="27" t="n"/>
      <c r="HU113" s="27" t="n"/>
      <c r="HV113" s="27" t="n"/>
      <c r="HW113" s="27" t="n"/>
      <c r="HX113" s="27" t="n"/>
      <c r="HY113" s="27" t="n"/>
      <c r="HZ113" s="27" t="n"/>
      <c r="IA113" s="27" t="n"/>
      <c r="IB113" s="27" t="n"/>
      <c r="IC113" s="27" t="n"/>
      <c r="ID113" s="27" t="n"/>
      <c r="IE113" s="27" t="n"/>
      <c r="IF113" s="27" t="n"/>
      <c r="IG113" s="27" t="n"/>
      <c r="IH113" s="27" t="n"/>
      <c r="II113" s="27" t="n"/>
      <c r="IJ113" s="27" t="n"/>
      <c r="IK113" s="27" t="n"/>
      <c r="IL113" s="27" t="n"/>
      <c r="IM113" s="27" t="n"/>
      <c r="IN113" s="27" t="n"/>
      <c r="IO113" s="27" t="n"/>
      <c r="IP113" s="27" t="n"/>
      <c r="IQ113" s="27" t="n"/>
      <c r="IR113" s="27" t="n"/>
      <c r="IS113" s="27" t="n"/>
      <c r="IT113" s="27" t="n"/>
      <c r="IU113" s="27" t="n"/>
      <c r="IV113" s="27" t="n"/>
    </row>
    <row r="114" ht="13" customHeight="1" s="195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  <c r="BU114" s="27" t="n"/>
      <c r="BV114" s="27" t="n"/>
      <c r="BW114" s="27" t="n"/>
      <c r="BX114" s="27" t="n"/>
      <c r="BY114" s="27" t="n"/>
      <c r="BZ114" s="27" t="n"/>
      <c r="CA114" s="27" t="n"/>
      <c r="CB114" s="27" t="n"/>
      <c r="CC114" s="27" t="n"/>
      <c r="CD114" s="27" t="n"/>
      <c r="CE114" s="27" t="n"/>
      <c r="CF114" s="27" t="n"/>
      <c r="CG114" s="27" t="n"/>
      <c r="CH114" s="27" t="n"/>
      <c r="CI114" s="27" t="n"/>
      <c r="CJ114" s="27" t="n"/>
      <c r="CK114" s="27" t="n"/>
      <c r="CL114" s="27" t="n"/>
      <c r="CM114" s="27" t="n"/>
      <c r="CN114" s="27" t="n"/>
      <c r="CO114" s="27" t="n"/>
      <c r="CP114" s="27" t="n"/>
      <c r="CQ114" s="27" t="n"/>
      <c r="CR114" s="27" t="n"/>
      <c r="CS114" s="27" t="n"/>
      <c r="CT114" s="27" t="n"/>
      <c r="CU114" s="27" t="n"/>
      <c r="CV114" s="27" t="n"/>
      <c r="CW114" s="27" t="n"/>
      <c r="CX114" s="27" t="n"/>
      <c r="CY114" s="27" t="n"/>
      <c r="CZ114" s="27" t="n"/>
      <c r="DA114" s="27" t="n"/>
      <c r="DB114" s="27" t="n"/>
      <c r="DC114" s="27" t="n"/>
      <c r="DD114" s="27" t="n"/>
      <c r="DE114" s="27" t="n"/>
      <c r="DF114" s="27" t="n"/>
      <c r="DG114" s="27" t="n"/>
      <c r="DH114" s="27" t="n"/>
      <c r="DI114" s="27" t="n"/>
      <c r="DJ114" s="27" t="n"/>
      <c r="DK114" s="27" t="n"/>
      <c r="DL114" s="27" t="n"/>
      <c r="DM114" s="27" t="n"/>
      <c r="DN114" s="27" t="n"/>
      <c r="DO114" s="27" t="n"/>
      <c r="DP114" s="27" t="n"/>
      <c r="DQ114" s="27" t="n"/>
      <c r="DR114" s="27" t="n"/>
      <c r="DS114" s="27" t="n"/>
      <c r="DT114" s="27" t="n"/>
      <c r="DU114" s="27" t="n"/>
      <c r="DV114" s="27" t="n"/>
      <c r="DW114" s="27" t="n"/>
      <c r="DX114" s="27" t="n"/>
      <c r="DY114" s="27" t="n"/>
      <c r="DZ114" s="27" t="n"/>
      <c r="EA114" s="27" t="n"/>
      <c r="EB114" s="27" t="n"/>
      <c r="EC114" s="27" t="n"/>
      <c r="ED114" s="27" t="n"/>
      <c r="EE114" s="27" t="n"/>
      <c r="EF114" s="27" t="n"/>
      <c r="EG114" s="27" t="n"/>
      <c r="EH114" s="27" t="n"/>
      <c r="EI114" s="27" t="n"/>
      <c r="EJ114" s="27" t="n"/>
      <c r="EK114" s="27" t="n"/>
      <c r="EL114" s="27" t="n"/>
      <c r="EM114" s="27" t="n"/>
      <c r="EN114" s="27" t="n"/>
      <c r="EO114" s="27" t="n"/>
      <c r="EP114" s="27" t="n"/>
      <c r="EQ114" s="27" t="n"/>
      <c r="ER114" s="27" t="n"/>
      <c r="ES114" s="27" t="n"/>
      <c r="ET114" s="27" t="n"/>
      <c r="EU114" s="27" t="n"/>
      <c r="EV114" s="27" t="n"/>
      <c r="EW114" s="27" t="n"/>
      <c r="EX114" s="27" t="n"/>
      <c r="EY114" s="27" t="n"/>
      <c r="EZ114" s="27" t="n"/>
      <c r="FA114" s="27" t="n"/>
      <c r="FB114" s="27" t="n"/>
      <c r="FC114" s="27" t="n"/>
      <c r="FD114" s="27" t="n"/>
      <c r="FE114" s="27" t="n"/>
      <c r="FF114" s="27" t="n"/>
      <c r="FG114" s="27" t="n"/>
      <c r="FH114" s="27" t="n"/>
      <c r="FI114" s="27" t="n"/>
      <c r="FJ114" s="27" t="n"/>
      <c r="FK114" s="27" t="n"/>
      <c r="FL114" s="27" t="n"/>
      <c r="FM114" s="27" t="n"/>
      <c r="FN114" s="27" t="n"/>
      <c r="FO114" s="27" t="n"/>
      <c r="FP114" s="27" t="n"/>
      <c r="FQ114" s="27" t="n"/>
      <c r="FR114" s="27" t="n"/>
      <c r="FS114" s="27" t="n"/>
      <c r="FT114" s="27" t="n"/>
      <c r="FU114" s="27" t="n"/>
      <c r="FV114" s="27" t="n"/>
      <c r="FW114" s="27" t="n"/>
      <c r="FX114" s="27" t="n"/>
      <c r="FY114" s="27" t="n"/>
      <c r="FZ114" s="27" t="n"/>
      <c r="GA114" s="27" t="n"/>
      <c r="GB114" s="27" t="n"/>
      <c r="GC114" s="27" t="n"/>
      <c r="GD114" s="27" t="n"/>
      <c r="GE114" s="27" t="n"/>
      <c r="GF114" s="27" t="n"/>
      <c r="GG114" s="27" t="n"/>
      <c r="GH114" s="27" t="n"/>
      <c r="GI114" s="27" t="n"/>
      <c r="GJ114" s="27" t="n"/>
      <c r="GK114" s="27" t="n"/>
      <c r="GL114" s="27" t="n"/>
      <c r="GM114" s="27" t="n"/>
      <c r="GN114" s="27" t="n"/>
      <c r="GO114" s="27" t="n"/>
      <c r="GP114" s="27" t="n"/>
      <c r="GQ114" s="27" t="n"/>
      <c r="GR114" s="27" t="n"/>
      <c r="GS114" s="27" t="n"/>
      <c r="GT114" s="27" t="n"/>
      <c r="GU114" s="27" t="n"/>
      <c r="GV114" s="27" t="n"/>
      <c r="GW114" s="27" t="n"/>
      <c r="GX114" s="27" t="n"/>
      <c r="GY114" s="27" t="n"/>
      <c r="GZ114" s="27" t="n"/>
      <c r="HA114" s="27" t="n"/>
      <c r="HB114" s="27" t="n"/>
      <c r="HC114" s="27" t="n"/>
      <c r="HD114" s="27" t="n"/>
      <c r="HE114" s="27" t="n"/>
      <c r="HF114" s="27" t="n"/>
      <c r="HG114" s="27" t="n"/>
      <c r="HH114" s="27" t="n"/>
      <c r="HI114" s="27" t="n"/>
      <c r="HJ114" s="27" t="n"/>
      <c r="HK114" s="27" t="n"/>
      <c r="HL114" s="27" t="n"/>
      <c r="HM114" s="27" t="n"/>
      <c r="HN114" s="27" t="n"/>
      <c r="HO114" s="27" t="n"/>
      <c r="HP114" s="27" t="n"/>
      <c r="HQ114" s="27" t="n"/>
      <c r="HR114" s="27" t="n"/>
      <c r="HS114" s="27" t="n"/>
      <c r="HT114" s="27" t="n"/>
      <c r="HU114" s="27" t="n"/>
      <c r="HV114" s="27" t="n"/>
      <c r="HW114" s="27" t="n"/>
      <c r="HX114" s="27" t="n"/>
      <c r="HY114" s="27" t="n"/>
      <c r="HZ114" s="27" t="n"/>
      <c r="IA114" s="27" t="n"/>
      <c r="IB114" s="27" t="n"/>
      <c r="IC114" s="27" t="n"/>
      <c r="ID114" s="27" t="n"/>
      <c r="IE114" s="27" t="n"/>
      <c r="IF114" s="27" t="n"/>
      <c r="IG114" s="27" t="n"/>
      <c r="IH114" s="27" t="n"/>
      <c r="II114" s="27" t="n"/>
      <c r="IJ114" s="27" t="n"/>
      <c r="IK114" s="27" t="n"/>
      <c r="IL114" s="27" t="n"/>
      <c r="IM114" s="27" t="n"/>
      <c r="IN114" s="27" t="n"/>
      <c r="IO114" s="27" t="n"/>
      <c r="IP114" s="27" t="n"/>
      <c r="IQ114" s="27" t="n"/>
      <c r="IR114" s="27" t="n"/>
      <c r="IS114" s="27" t="n"/>
      <c r="IT114" s="27" t="n"/>
      <c r="IU114" s="27" t="n"/>
      <c r="IV114" s="27" t="n"/>
    </row>
    <row r="115" ht="13" customHeight="1" s="195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  <c r="AA115" s="27" t="n"/>
      <c r="AB115" s="27" t="n"/>
      <c r="AC115" s="27" t="n"/>
      <c r="AD115" s="27" t="n"/>
      <c r="AE115" s="27" t="n"/>
      <c r="AF115" s="27" t="n"/>
      <c r="AG115" s="27" t="n"/>
      <c r="AH115" s="27" t="n"/>
      <c r="AI115" s="27" t="n"/>
      <c r="AJ115" s="27" t="n"/>
      <c r="AK115" s="27" t="n"/>
      <c r="AL115" s="27" t="n"/>
      <c r="AM115" s="27" t="n"/>
      <c r="AN115" s="27" t="n"/>
      <c r="AO115" s="27" t="n"/>
      <c r="AP115" s="27" t="n"/>
      <c r="AQ115" s="27" t="n"/>
      <c r="AR115" s="27" t="n"/>
      <c r="AS115" s="27" t="n"/>
      <c r="AT115" s="27" t="n"/>
      <c r="AU115" s="27" t="n"/>
      <c r="AV115" s="27" t="n"/>
      <c r="AW115" s="27" t="n"/>
      <c r="AX115" s="27" t="n"/>
      <c r="AY115" s="27" t="n"/>
      <c r="AZ115" s="27" t="n"/>
      <c r="BA115" s="27" t="n"/>
      <c r="BB115" s="27" t="n"/>
      <c r="BC115" s="27" t="n"/>
      <c r="BD115" s="27" t="n"/>
      <c r="BE115" s="27" t="n"/>
      <c r="BF115" s="27" t="n"/>
      <c r="BG115" s="27" t="n"/>
      <c r="BH115" s="27" t="n"/>
      <c r="BI115" s="27" t="n"/>
      <c r="BJ115" s="27" t="n"/>
      <c r="BK115" s="27" t="n"/>
      <c r="BL115" s="27" t="n"/>
      <c r="BM115" s="27" t="n"/>
      <c r="BN115" s="27" t="n"/>
      <c r="BO115" s="27" t="n"/>
      <c r="BP115" s="27" t="n"/>
      <c r="BQ115" s="27" t="n"/>
      <c r="BR115" s="27" t="n"/>
      <c r="BS115" s="27" t="n"/>
      <c r="BT115" s="27" t="n"/>
      <c r="BU115" s="27" t="n"/>
      <c r="BV115" s="27" t="n"/>
      <c r="BW115" s="27" t="n"/>
      <c r="BX115" s="27" t="n"/>
      <c r="BY115" s="27" t="n"/>
      <c r="BZ115" s="27" t="n"/>
      <c r="CA115" s="27" t="n"/>
      <c r="CB115" s="27" t="n"/>
      <c r="CC115" s="27" t="n"/>
      <c r="CD115" s="27" t="n"/>
      <c r="CE115" s="27" t="n"/>
      <c r="CF115" s="27" t="n"/>
      <c r="CG115" s="27" t="n"/>
      <c r="CH115" s="27" t="n"/>
      <c r="CI115" s="27" t="n"/>
      <c r="CJ115" s="27" t="n"/>
      <c r="CK115" s="27" t="n"/>
      <c r="CL115" s="27" t="n"/>
      <c r="CM115" s="27" t="n"/>
      <c r="CN115" s="27" t="n"/>
      <c r="CO115" s="27" t="n"/>
      <c r="CP115" s="27" t="n"/>
      <c r="CQ115" s="27" t="n"/>
      <c r="CR115" s="27" t="n"/>
      <c r="CS115" s="27" t="n"/>
      <c r="CT115" s="27" t="n"/>
      <c r="CU115" s="27" t="n"/>
      <c r="CV115" s="27" t="n"/>
      <c r="CW115" s="27" t="n"/>
      <c r="CX115" s="27" t="n"/>
      <c r="CY115" s="27" t="n"/>
      <c r="CZ115" s="27" t="n"/>
      <c r="DA115" s="27" t="n"/>
      <c r="DB115" s="27" t="n"/>
      <c r="DC115" s="27" t="n"/>
      <c r="DD115" s="27" t="n"/>
      <c r="DE115" s="27" t="n"/>
      <c r="DF115" s="27" t="n"/>
      <c r="DG115" s="27" t="n"/>
      <c r="DH115" s="27" t="n"/>
      <c r="DI115" s="27" t="n"/>
      <c r="DJ115" s="27" t="n"/>
      <c r="DK115" s="27" t="n"/>
      <c r="DL115" s="27" t="n"/>
      <c r="DM115" s="27" t="n"/>
      <c r="DN115" s="27" t="n"/>
      <c r="DO115" s="27" t="n"/>
      <c r="DP115" s="27" t="n"/>
      <c r="DQ115" s="27" t="n"/>
      <c r="DR115" s="27" t="n"/>
      <c r="DS115" s="27" t="n"/>
      <c r="DT115" s="27" t="n"/>
      <c r="DU115" s="27" t="n"/>
      <c r="DV115" s="27" t="n"/>
      <c r="DW115" s="27" t="n"/>
      <c r="DX115" s="27" t="n"/>
      <c r="DY115" s="27" t="n"/>
      <c r="DZ115" s="27" t="n"/>
      <c r="EA115" s="27" t="n"/>
      <c r="EB115" s="27" t="n"/>
      <c r="EC115" s="27" t="n"/>
      <c r="ED115" s="27" t="n"/>
      <c r="EE115" s="27" t="n"/>
      <c r="EF115" s="27" t="n"/>
      <c r="EG115" s="27" t="n"/>
      <c r="EH115" s="27" t="n"/>
      <c r="EI115" s="27" t="n"/>
      <c r="EJ115" s="27" t="n"/>
      <c r="EK115" s="27" t="n"/>
      <c r="EL115" s="27" t="n"/>
      <c r="EM115" s="27" t="n"/>
      <c r="EN115" s="27" t="n"/>
      <c r="EO115" s="27" t="n"/>
      <c r="EP115" s="27" t="n"/>
      <c r="EQ115" s="27" t="n"/>
      <c r="ER115" s="27" t="n"/>
      <c r="ES115" s="27" t="n"/>
      <c r="ET115" s="27" t="n"/>
      <c r="EU115" s="27" t="n"/>
      <c r="EV115" s="27" t="n"/>
      <c r="EW115" s="27" t="n"/>
      <c r="EX115" s="27" t="n"/>
      <c r="EY115" s="27" t="n"/>
      <c r="EZ115" s="27" t="n"/>
      <c r="FA115" s="27" t="n"/>
      <c r="FB115" s="27" t="n"/>
      <c r="FC115" s="27" t="n"/>
      <c r="FD115" s="27" t="n"/>
      <c r="FE115" s="27" t="n"/>
      <c r="FF115" s="27" t="n"/>
      <c r="FG115" s="27" t="n"/>
      <c r="FH115" s="27" t="n"/>
      <c r="FI115" s="27" t="n"/>
      <c r="FJ115" s="27" t="n"/>
      <c r="FK115" s="27" t="n"/>
      <c r="FL115" s="27" t="n"/>
      <c r="FM115" s="27" t="n"/>
      <c r="FN115" s="27" t="n"/>
      <c r="FO115" s="27" t="n"/>
      <c r="FP115" s="27" t="n"/>
      <c r="FQ115" s="27" t="n"/>
      <c r="FR115" s="27" t="n"/>
      <c r="FS115" s="27" t="n"/>
      <c r="FT115" s="27" t="n"/>
      <c r="FU115" s="27" t="n"/>
      <c r="FV115" s="27" t="n"/>
      <c r="FW115" s="27" t="n"/>
      <c r="FX115" s="27" t="n"/>
      <c r="FY115" s="27" t="n"/>
      <c r="FZ115" s="27" t="n"/>
      <c r="GA115" s="27" t="n"/>
      <c r="GB115" s="27" t="n"/>
      <c r="GC115" s="27" t="n"/>
      <c r="GD115" s="27" t="n"/>
      <c r="GE115" s="27" t="n"/>
      <c r="GF115" s="27" t="n"/>
      <c r="GG115" s="27" t="n"/>
      <c r="GH115" s="27" t="n"/>
      <c r="GI115" s="27" t="n"/>
      <c r="GJ115" s="27" t="n"/>
      <c r="GK115" s="27" t="n"/>
      <c r="GL115" s="27" t="n"/>
      <c r="GM115" s="27" t="n"/>
      <c r="GN115" s="27" t="n"/>
      <c r="GO115" s="27" t="n"/>
      <c r="GP115" s="27" t="n"/>
      <c r="GQ115" s="27" t="n"/>
      <c r="GR115" s="27" t="n"/>
      <c r="GS115" s="27" t="n"/>
      <c r="GT115" s="27" t="n"/>
      <c r="GU115" s="27" t="n"/>
      <c r="GV115" s="27" t="n"/>
      <c r="GW115" s="27" t="n"/>
      <c r="GX115" s="27" t="n"/>
      <c r="GY115" s="27" t="n"/>
      <c r="GZ115" s="27" t="n"/>
      <c r="HA115" s="27" t="n"/>
      <c r="HB115" s="27" t="n"/>
      <c r="HC115" s="27" t="n"/>
      <c r="HD115" s="27" t="n"/>
      <c r="HE115" s="27" t="n"/>
      <c r="HF115" s="27" t="n"/>
      <c r="HG115" s="27" t="n"/>
      <c r="HH115" s="27" t="n"/>
      <c r="HI115" s="27" t="n"/>
      <c r="HJ115" s="27" t="n"/>
      <c r="HK115" s="27" t="n"/>
      <c r="HL115" s="27" t="n"/>
      <c r="HM115" s="27" t="n"/>
      <c r="HN115" s="27" t="n"/>
      <c r="HO115" s="27" t="n"/>
      <c r="HP115" s="27" t="n"/>
      <c r="HQ115" s="27" t="n"/>
      <c r="HR115" s="27" t="n"/>
      <c r="HS115" s="27" t="n"/>
      <c r="HT115" s="27" t="n"/>
      <c r="HU115" s="27" t="n"/>
      <c r="HV115" s="27" t="n"/>
      <c r="HW115" s="27" t="n"/>
      <c r="HX115" s="27" t="n"/>
      <c r="HY115" s="27" t="n"/>
      <c r="HZ115" s="27" t="n"/>
      <c r="IA115" s="27" t="n"/>
      <c r="IB115" s="27" t="n"/>
      <c r="IC115" s="27" t="n"/>
      <c r="ID115" s="27" t="n"/>
      <c r="IE115" s="27" t="n"/>
      <c r="IF115" s="27" t="n"/>
      <c r="IG115" s="27" t="n"/>
      <c r="IH115" s="27" t="n"/>
      <c r="II115" s="27" t="n"/>
      <c r="IJ115" s="27" t="n"/>
      <c r="IK115" s="27" t="n"/>
      <c r="IL115" s="27" t="n"/>
      <c r="IM115" s="27" t="n"/>
      <c r="IN115" s="27" t="n"/>
      <c r="IO115" s="27" t="n"/>
      <c r="IP115" s="27" t="n"/>
      <c r="IQ115" s="27" t="n"/>
      <c r="IR115" s="27" t="n"/>
      <c r="IS115" s="27" t="n"/>
      <c r="IT115" s="27" t="n"/>
      <c r="IU115" s="27" t="n"/>
      <c r="IV115" s="27" t="n"/>
    </row>
    <row r="116" ht="13" customHeight="1" s="195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  <c r="BU116" s="27" t="n"/>
      <c r="BV116" s="27" t="n"/>
      <c r="BW116" s="27" t="n"/>
      <c r="BX116" s="27" t="n"/>
      <c r="BY116" s="27" t="n"/>
      <c r="BZ116" s="27" t="n"/>
      <c r="CA116" s="27" t="n"/>
      <c r="CB116" s="27" t="n"/>
      <c r="CC116" s="27" t="n"/>
      <c r="CD116" s="27" t="n"/>
      <c r="CE116" s="27" t="n"/>
      <c r="CF116" s="27" t="n"/>
      <c r="CG116" s="27" t="n"/>
      <c r="CH116" s="27" t="n"/>
      <c r="CI116" s="27" t="n"/>
      <c r="CJ116" s="27" t="n"/>
      <c r="CK116" s="27" t="n"/>
      <c r="CL116" s="27" t="n"/>
      <c r="CM116" s="27" t="n"/>
      <c r="CN116" s="27" t="n"/>
      <c r="CO116" s="27" t="n"/>
      <c r="CP116" s="27" t="n"/>
      <c r="CQ116" s="27" t="n"/>
      <c r="CR116" s="27" t="n"/>
      <c r="CS116" s="27" t="n"/>
      <c r="CT116" s="27" t="n"/>
      <c r="CU116" s="27" t="n"/>
      <c r="CV116" s="27" t="n"/>
      <c r="CW116" s="27" t="n"/>
      <c r="CX116" s="27" t="n"/>
      <c r="CY116" s="27" t="n"/>
      <c r="CZ116" s="27" t="n"/>
      <c r="DA116" s="27" t="n"/>
      <c r="DB116" s="27" t="n"/>
      <c r="DC116" s="27" t="n"/>
      <c r="DD116" s="27" t="n"/>
      <c r="DE116" s="27" t="n"/>
      <c r="DF116" s="27" t="n"/>
      <c r="DG116" s="27" t="n"/>
      <c r="DH116" s="27" t="n"/>
      <c r="DI116" s="27" t="n"/>
      <c r="DJ116" s="27" t="n"/>
      <c r="DK116" s="27" t="n"/>
      <c r="DL116" s="27" t="n"/>
      <c r="DM116" s="27" t="n"/>
      <c r="DN116" s="27" t="n"/>
      <c r="DO116" s="27" t="n"/>
      <c r="DP116" s="27" t="n"/>
      <c r="DQ116" s="27" t="n"/>
      <c r="DR116" s="27" t="n"/>
      <c r="DS116" s="27" t="n"/>
      <c r="DT116" s="27" t="n"/>
      <c r="DU116" s="27" t="n"/>
      <c r="DV116" s="27" t="n"/>
      <c r="DW116" s="27" t="n"/>
      <c r="DX116" s="27" t="n"/>
      <c r="DY116" s="27" t="n"/>
      <c r="DZ116" s="27" t="n"/>
      <c r="EA116" s="27" t="n"/>
      <c r="EB116" s="27" t="n"/>
      <c r="EC116" s="27" t="n"/>
      <c r="ED116" s="27" t="n"/>
      <c r="EE116" s="27" t="n"/>
      <c r="EF116" s="27" t="n"/>
      <c r="EG116" s="27" t="n"/>
      <c r="EH116" s="27" t="n"/>
      <c r="EI116" s="27" t="n"/>
      <c r="EJ116" s="27" t="n"/>
      <c r="EK116" s="27" t="n"/>
      <c r="EL116" s="27" t="n"/>
      <c r="EM116" s="27" t="n"/>
      <c r="EN116" s="27" t="n"/>
      <c r="EO116" s="27" t="n"/>
      <c r="EP116" s="27" t="n"/>
      <c r="EQ116" s="27" t="n"/>
      <c r="ER116" s="27" t="n"/>
      <c r="ES116" s="27" t="n"/>
      <c r="ET116" s="27" t="n"/>
      <c r="EU116" s="27" t="n"/>
      <c r="EV116" s="27" t="n"/>
      <c r="EW116" s="27" t="n"/>
      <c r="EX116" s="27" t="n"/>
      <c r="EY116" s="27" t="n"/>
      <c r="EZ116" s="27" t="n"/>
      <c r="FA116" s="27" t="n"/>
      <c r="FB116" s="27" t="n"/>
      <c r="FC116" s="27" t="n"/>
      <c r="FD116" s="27" t="n"/>
      <c r="FE116" s="27" t="n"/>
      <c r="FF116" s="27" t="n"/>
      <c r="FG116" s="27" t="n"/>
      <c r="FH116" s="27" t="n"/>
      <c r="FI116" s="27" t="n"/>
      <c r="FJ116" s="27" t="n"/>
      <c r="FK116" s="27" t="n"/>
      <c r="FL116" s="27" t="n"/>
      <c r="FM116" s="27" t="n"/>
      <c r="FN116" s="27" t="n"/>
      <c r="FO116" s="27" t="n"/>
      <c r="FP116" s="27" t="n"/>
      <c r="FQ116" s="27" t="n"/>
      <c r="FR116" s="27" t="n"/>
      <c r="FS116" s="27" t="n"/>
      <c r="FT116" s="27" t="n"/>
      <c r="FU116" s="27" t="n"/>
      <c r="FV116" s="27" t="n"/>
      <c r="FW116" s="27" t="n"/>
      <c r="FX116" s="27" t="n"/>
      <c r="FY116" s="27" t="n"/>
      <c r="FZ116" s="27" t="n"/>
      <c r="GA116" s="27" t="n"/>
      <c r="GB116" s="27" t="n"/>
      <c r="GC116" s="27" t="n"/>
      <c r="GD116" s="27" t="n"/>
      <c r="GE116" s="27" t="n"/>
      <c r="GF116" s="27" t="n"/>
      <c r="GG116" s="27" t="n"/>
      <c r="GH116" s="27" t="n"/>
      <c r="GI116" s="27" t="n"/>
      <c r="GJ116" s="27" t="n"/>
      <c r="GK116" s="27" t="n"/>
      <c r="GL116" s="27" t="n"/>
      <c r="GM116" s="27" t="n"/>
      <c r="GN116" s="27" t="n"/>
      <c r="GO116" s="27" t="n"/>
      <c r="GP116" s="27" t="n"/>
      <c r="GQ116" s="27" t="n"/>
      <c r="GR116" s="27" t="n"/>
      <c r="GS116" s="27" t="n"/>
      <c r="GT116" s="27" t="n"/>
      <c r="GU116" s="27" t="n"/>
      <c r="GV116" s="27" t="n"/>
      <c r="GW116" s="27" t="n"/>
      <c r="GX116" s="27" t="n"/>
      <c r="GY116" s="27" t="n"/>
      <c r="GZ116" s="27" t="n"/>
      <c r="HA116" s="27" t="n"/>
      <c r="HB116" s="27" t="n"/>
      <c r="HC116" s="27" t="n"/>
      <c r="HD116" s="27" t="n"/>
      <c r="HE116" s="27" t="n"/>
      <c r="HF116" s="27" t="n"/>
      <c r="HG116" s="27" t="n"/>
      <c r="HH116" s="27" t="n"/>
      <c r="HI116" s="27" t="n"/>
      <c r="HJ116" s="27" t="n"/>
      <c r="HK116" s="27" t="n"/>
      <c r="HL116" s="27" t="n"/>
      <c r="HM116" s="27" t="n"/>
      <c r="HN116" s="27" t="n"/>
      <c r="HO116" s="27" t="n"/>
      <c r="HP116" s="27" t="n"/>
      <c r="HQ116" s="27" t="n"/>
      <c r="HR116" s="27" t="n"/>
      <c r="HS116" s="27" t="n"/>
      <c r="HT116" s="27" t="n"/>
      <c r="HU116" s="27" t="n"/>
      <c r="HV116" s="27" t="n"/>
      <c r="HW116" s="27" t="n"/>
      <c r="HX116" s="27" t="n"/>
      <c r="HY116" s="27" t="n"/>
      <c r="HZ116" s="27" t="n"/>
      <c r="IA116" s="27" t="n"/>
      <c r="IB116" s="27" t="n"/>
      <c r="IC116" s="27" t="n"/>
      <c r="ID116" s="27" t="n"/>
      <c r="IE116" s="27" t="n"/>
      <c r="IF116" s="27" t="n"/>
      <c r="IG116" s="27" t="n"/>
      <c r="IH116" s="27" t="n"/>
      <c r="II116" s="27" t="n"/>
      <c r="IJ116" s="27" t="n"/>
      <c r="IK116" s="27" t="n"/>
      <c r="IL116" s="27" t="n"/>
      <c r="IM116" s="27" t="n"/>
      <c r="IN116" s="27" t="n"/>
      <c r="IO116" s="27" t="n"/>
      <c r="IP116" s="27" t="n"/>
      <c r="IQ116" s="27" t="n"/>
      <c r="IR116" s="27" t="n"/>
      <c r="IS116" s="27" t="n"/>
      <c r="IT116" s="27" t="n"/>
      <c r="IU116" s="27" t="n"/>
      <c r="IV116" s="27" t="n"/>
    </row>
    <row r="117" ht="13" customHeight="1" s="195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  <c r="AA117" s="27" t="n"/>
      <c r="AB117" s="27" t="n"/>
      <c r="AC117" s="27" t="n"/>
      <c r="AD117" s="27" t="n"/>
      <c r="AE117" s="27" t="n"/>
      <c r="AF117" s="27" t="n"/>
      <c r="AG117" s="27" t="n"/>
      <c r="AH117" s="27" t="n"/>
      <c r="AI117" s="27" t="n"/>
      <c r="AJ117" s="27" t="n"/>
      <c r="AK117" s="27" t="n"/>
      <c r="AL117" s="27" t="n"/>
      <c r="AM117" s="27" t="n"/>
      <c r="AN117" s="27" t="n"/>
      <c r="AO117" s="27" t="n"/>
      <c r="AP117" s="27" t="n"/>
      <c r="AQ117" s="27" t="n"/>
      <c r="AR117" s="27" t="n"/>
      <c r="AS117" s="27" t="n"/>
      <c r="AT117" s="27" t="n"/>
      <c r="AU117" s="27" t="n"/>
      <c r="AV117" s="27" t="n"/>
      <c r="AW117" s="27" t="n"/>
      <c r="AX117" s="27" t="n"/>
      <c r="AY117" s="27" t="n"/>
      <c r="AZ117" s="27" t="n"/>
      <c r="BA117" s="27" t="n"/>
      <c r="BB117" s="27" t="n"/>
      <c r="BC117" s="27" t="n"/>
      <c r="BD117" s="27" t="n"/>
      <c r="BE117" s="27" t="n"/>
      <c r="BF117" s="27" t="n"/>
      <c r="BG117" s="27" t="n"/>
      <c r="BH117" s="27" t="n"/>
      <c r="BI117" s="27" t="n"/>
      <c r="BJ117" s="27" t="n"/>
      <c r="BK117" s="27" t="n"/>
      <c r="BL117" s="27" t="n"/>
      <c r="BM117" s="27" t="n"/>
      <c r="BN117" s="27" t="n"/>
      <c r="BO117" s="27" t="n"/>
      <c r="BP117" s="27" t="n"/>
      <c r="BQ117" s="27" t="n"/>
      <c r="BR117" s="27" t="n"/>
      <c r="BS117" s="27" t="n"/>
      <c r="BT117" s="27" t="n"/>
      <c r="BU117" s="27" t="n"/>
      <c r="BV117" s="27" t="n"/>
      <c r="BW117" s="27" t="n"/>
      <c r="BX117" s="27" t="n"/>
      <c r="BY117" s="27" t="n"/>
      <c r="BZ117" s="27" t="n"/>
      <c r="CA117" s="27" t="n"/>
      <c r="CB117" s="27" t="n"/>
      <c r="CC117" s="27" t="n"/>
      <c r="CD117" s="27" t="n"/>
      <c r="CE117" s="27" t="n"/>
      <c r="CF117" s="27" t="n"/>
      <c r="CG117" s="27" t="n"/>
      <c r="CH117" s="27" t="n"/>
      <c r="CI117" s="27" t="n"/>
      <c r="CJ117" s="27" t="n"/>
      <c r="CK117" s="27" t="n"/>
      <c r="CL117" s="27" t="n"/>
      <c r="CM117" s="27" t="n"/>
      <c r="CN117" s="27" t="n"/>
      <c r="CO117" s="27" t="n"/>
      <c r="CP117" s="27" t="n"/>
      <c r="CQ117" s="27" t="n"/>
      <c r="CR117" s="27" t="n"/>
      <c r="CS117" s="27" t="n"/>
      <c r="CT117" s="27" t="n"/>
      <c r="CU117" s="27" t="n"/>
      <c r="CV117" s="27" t="n"/>
      <c r="CW117" s="27" t="n"/>
      <c r="CX117" s="27" t="n"/>
      <c r="CY117" s="27" t="n"/>
      <c r="CZ117" s="27" t="n"/>
      <c r="DA117" s="27" t="n"/>
      <c r="DB117" s="27" t="n"/>
      <c r="DC117" s="27" t="n"/>
      <c r="DD117" s="27" t="n"/>
      <c r="DE117" s="27" t="n"/>
      <c r="DF117" s="27" t="n"/>
      <c r="DG117" s="27" t="n"/>
      <c r="DH117" s="27" t="n"/>
      <c r="DI117" s="27" t="n"/>
      <c r="DJ117" s="27" t="n"/>
      <c r="DK117" s="27" t="n"/>
      <c r="DL117" s="27" t="n"/>
      <c r="DM117" s="27" t="n"/>
      <c r="DN117" s="27" t="n"/>
      <c r="DO117" s="27" t="n"/>
      <c r="DP117" s="27" t="n"/>
      <c r="DQ117" s="27" t="n"/>
      <c r="DR117" s="27" t="n"/>
      <c r="DS117" s="27" t="n"/>
      <c r="DT117" s="27" t="n"/>
      <c r="DU117" s="27" t="n"/>
      <c r="DV117" s="27" t="n"/>
      <c r="DW117" s="27" t="n"/>
      <c r="DX117" s="27" t="n"/>
      <c r="DY117" s="27" t="n"/>
      <c r="DZ117" s="27" t="n"/>
      <c r="EA117" s="27" t="n"/>
      <c r="EB117" s="27" t="n"/>
      <c r="EC117" s="27" t="n"/>
      <c r="ED117" s="27" t="n"/>
      <c r="EE117" s="27" t="n"/>
      <c r="EF117" s="27" t="n"/>
      <c r="EG117" s="27" t="n"/>
      <c r="EH117" s="27" t="n"/>
      <c r="EI117" s="27" t="n"/>
      <c r="EJ117" s="27" t="n"/>
      <c r="EK117" s="27" t="n"/>
      <c r="EL117" s="27" t="n"/>
      <c r="EM117" s="27" t="n"/>
      <c r="EN117" s="27" t="n"/>
      <c r="EO117" s="27" t="n"/>
      <c r="EP117" s="27" t="n"/>
      <c r="EQ117" s="27" t="n"/>
      <c r="ER117" s="27" t="n"/>
      <c r="ES117" s="27" t="n"/>
      <c r="ET117" s="27" t="n"/>
      <c r="EU117" s="27" t="n"/>
      <c r="EV117" s="27" t="n"/>
      <c r="EW117" s="27" t="n"/>
      <c r="EX117" s="27" t="n"/>
      <c r="EY117" s="27" t="n"/>
      <c r="EZ117" s="27" t="n"/>
      <c r="FA117" s="27" t="n"/>
      <c r="FB117" s="27" t="n"/>
      <c r="FC117" s="27" t="n"/>
      <c r="FD117" s="27" t="n"/>
      <c r="FE117" s="27" t="n"/>
      <c r="FF117" s="27" t="n"/>
      <c r="FG117" s="27" t="n"/>
      <c r="FH117" s="27" t="n"/>
      <c r="FI117" s="27" t="n"/>
      <c r="FJ117" s="27" t="n"/>
      <c r="FK117" s="27" t="n"/>
      <c r="FL117" s="27" t="n"/>
      <c r="FM117" s="27" t="n"/>
      <c r="FN117" s="27" t="n"/>
      <c r="FO117" s="27" t="n"/>
      <c r="FP117" s="27" t="n"/>
      <c r="FQ117" s="27" t="n"/>
      <c r="FR117" s="27" t="n"/>
      <c r="FS117" s="27" t="n"/>
      <c r="FT117" s="27" t="n"/>
      <c r="FU117" s="27" t="n"/>
      <c r="FV117" s="27" t="n"/>
      <c r="FW117" s="27" t="n"/>
      <c r="FX117" s="27" t="n"/>
      <c r="FY117" s="27" t="n"/>
      <c r="FZ117" s="27" t="n"/>
      <c r="GA117" s="27" t="n"/>
      <c r="GB117" s="27" t="n"/>
      <c r="GC117" s="27" t="n"/>
      <c r="GD117" s="27" t="n"/>
      <c r="GE117" s="27" t="n"/>
      <c r="GF117" s="27" t="n"/>
      <c r="GG117" s="27" t="n"/>
      <c r="GH117" s="27" t="n"/>
      <c r="GI117" s="27" t="n"/>
      <c r="GJ117" s="27" t="n"/>
      <c r="GK117" s="27" t="n"/>
      <c r="GL117" s="27" t="n"/>
      <c r="GM117" s="27" t="n"/>
      <c r="GN117" s="27" t="n"/>
      <c r="GO117" s="27" t="n"/>
      <c r="GP117" s="27" t="n"/>
      <c r="GQ117" s="27" t="n"/>
      <c r="GR117" s="27" t="n"/>
      <c r="GS117" s="27" t="n"/>
      <c r="GT117" s="27" t="n"/>
      <c r="GU117" s="27" t="n"/>
      <c r="GV117" s="27" t="n"/>
      <c r="GW117" s="27" t="n"/>
      <c r="GX117" s="27" t="n"/>
      <c r="GY117" s="27" t="n"/>
      <c r="GZ117" s="27" t="n"/>
      <c r="HA117" s="27" t="n"/>
      <c r="HB117" s="27" t="n"/>
      <c r="HC117" s="27" t="n"/>
      <c r="HD117" s="27" t="n"/>
      <c r="HE117" s="27" t="n"/>
      <c r="HF117" s="27" t="n"/>
      <c r="HG117" s="27" t="n"/>
      <c r="HH117" s="27" t="n"/>
      <c r="HI117" s="27" t="n"/>
      <c r="HJ117" s="27" t="n"/>
      <c r="HK117" s="27" t="n"/>
      <c r="HL117" s="27" t="n"/>
      <c r="HM117" s="27" t="n"/>
      <c r="HN117" s="27" t="n"/>
      <c r="HO117" s="27" t="n"/>
      <c r="HP117" s="27" t="n"/>
      <c r="HQ117" s="27" t="n"/>
      <c r="HR117" s="27" t="n"/>
      <c r="HS117" s="27" t="n"/>
      <c r="HT117" s="27" t="n"/>
      <c r="HU117" s="27" t="n"/>
      <c r="HV117" s="27" t="n"/>
      <c r="HW117" s="27" t="n"/>
      <c r="HX117" s="27" t="n"/>
      <c r="HY117" s="27" t="n"/>
      <c r="HZ117" s="27" t="n"/>
      <c r="IA117" s="27" t="n"/>
      <c r="IB117" s="27" t="n"/>
      <c r="IC117" s="27" t="n"/>
      <c r="ID117" s="27" t="n"/>
      <c r="IE117" s="27" t="n"/>
      <c r="IF117" s="27" t="n"/>
      <c r="IG117" s="27" t="n"/>
      <c r="IH117" s="27" t="n"/>
      <c r="II117" s="27" t="n"/>
      <c r="IJ117" s="27" t="n"/>
      <c r="IK117" s="27" t="n"/>
      <c r="IL117" s="27" t="n"/>
      <c r="IM117" s="27" t="n"/>
      <c r="IN117" s="27" t="n"/>
      <c r="IO117" s="27" t="n"/>
      <c r="IP117" s="27" t="n"/>
      <c r="IQ117" s="27" t="n"/>
      <c r="IR117" s="27" t="n"/>
      <c r="IS117" s="27" t="n"/>
      <c r="IT117" s="27" t="n"/>
      <c r="IU117" s="27" t="n"/>
      <c r="IV117" s="27" t="n"/>
    </row>
    <row r="118" ht="13" customHeight="1" s="195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  <c r="BU118" s="27" t="n"/>
      <c r="BV118" s="27" t="n"/>
      <c r="BW118" s="27" t="n"/>
      <c r="BX118" s="27" t="n"/>
      <c r="BY118" s="27" t="n"/>
      <c r="BZ118" s="27" t="n"/>
      <c r="CA118" s="27" t="n"/>
      <c r="CB118" s="27" t="n"/>
      <c r="CC118" s="27" t="n"/>
      <c r="CD118" s="27" t="n"/>
      <c r="CE118" s="27" t="n"/>
      <c r="CF118" s="27" t="n"/>
      <c r="CG118" s="27" t="n"/>
      <c r="CH118" s="27" t="n"/>
      <c r="CI118" s="27" t="n"/>
      <c r="CJ118" s="27" t="n"/>
      <c r="CK118" s="27" t="n"/>
      <c r="CL118" s="27" t="n"/>
      <c r="CM118" s="27" t="n"/>
      <c r="CN118" s="27" t="n"/>
      <c r="CO118" s="27" t="n"/>
      <c r="CP118" s="27" t="n"/>
      <c r="CQ118" s="27" t="n"/>
      <c r="CR118" s="27" t="n"/>
      <c r="CS118" s="27" t="n"/>
      <c r="CT118" s="27" t="n"/>
      <c r="CU118" s="27" t="n"/>
      <c r="CV118" s="27" t="n"/>
      <c r="CW118" s="27" t="n"/>
      <c r="CX118" s="27" t="n"/>
      <c r="CY118" s="27" t="n"/>
      <c r="CZ118" s="27" t="n"/>
      <c r="DA118" s="27" t="n"/>
      <c r="DB118" s="27" t="n"/>
      <c r="DC118" s="27" t="n"/>
      <c r="DD118" s="27" t="n"/>
      <c r="DE118" s="27" t="n"/>
      <c r="DF118" s="27" t="n"/>
      <c r="DG118" s="27" t="n"/>
      <c r="DH118" s="27" t="n"/>
      <c r="DI118" s="27" t="n"/>
      <c r="DJ118" s="27" t="n"/>
      <c r="DK118" s="27" t="n"/>
      <c r="DL118" s="27" t="n"/>
      <c r="DM118" s="27" t="n"/>
      <c r="DN118" s="27" t="n"/>
      <c r="DO118" s="27" t="n"/>
      <c r="DP118" s="27" t="n"/>
      <c r="DQ118" s="27" t="n"/>
      <c r="DR118" s="27" t="n"/>
      <c r="DS118" s="27" t="n"/>
      <c r="DT118" s="27" t="n"/>
      <c r="DU118" s="27" t="n"/>
      <c r="DV118" s="27" t="n"/>
      <c r="DW118" s="27" t="n"/>
      <c r="DX118" s="27" t="n"/>
      <c r="DY118" s="27" t="n"/>
      <c r="DZ118" s="27" t="n"/>
      <c r="EA118" s="27" t="n"/>
      <c r="EB118" s="27" t="n"/>
      <c r="EC118" s="27" t="n"/>
      <c r="ED118" s="27" t="n"/>
      <c r="EE118" s="27" t="n"/>
      <c r="EF118" s="27" t="n"/>
      <c r="EG118" s="27" t="n"/>
      <c r="EH118" s="27" t="n"/>
      <c r="EI118" s="27" t="n"/>
      <c r="EJ118" s="27" t="n"/>
      <c r="EK118" s="27" t="n"/>
      <c r="EL118" s="27" t="n"/>
      <c r="EM118" s="27" t="n"/>
      <c r="EN118" s="27" t="n"/>
      <c r="EO118" s="27" t="n"/>
      <c r="EP118" s="27" t="n"/>
      <c r="EQ118" s="27" t="n"/>
      <c r="ER118" s="27" t="n"/>
      <c r="ES118" s="27" t="n"/>
      <c r="ET118" s="27" t="n"/>
      <c r="EU118" s="27" t="n"/>
      <c r="EV118" s="27" t="n"/>
      <c r="EW118" s="27" t="n"/>
      <c r="EX118" s="27" t="n"/>
      <c r="EY118" s="27" t="n"/>
      <c r="EZ118" s="27" t="n"/>
      <c r="FA118" s="27" t="n"/>
      <c r="FB118" s="27" t="n"/>
      <c r="FC118" s="27" t="n"/>
      <c r="FD118" s="27" t="n"/>
      <c r="FE118" s="27" t="n"/>
      <c r="FF118" s="27" t="n"/>
      <c r="FG118" s="27" t="n"/>
      <c r="FH118" s="27" t="n"/>
      <c r="FI118" s="27" t="n"/>
      <c r="FJ118" s="27" t="n"/>
      <c r="FK118" s="27" t="n"/>
      <c r="FL118" s="27" t="n"/>
      <c r="FM118" s="27" t="n"/>
      <c r="FN118" s="27" t="n"/>
      <c r="FO118" s="27" t="n"/>
      <c r="FP118" s="27" t="n"/>
      <c r="FQ118" s="27" t="n"/>
      <c r="FR118" s="27" t="n"/>
      <c r="FS118" s="27" t="n"/>
      <c r="FT118" s="27" t="n"/>
      <c r="FU118" s="27" t="n"/>
      <c r="FV118" s="27" t="n"/>
      <c r="FW118" s="27" t="n"/>
      <c r="FX118" s="27" t="n"/>
      <c r="FY118" s="27" t="n"/>
      <c r="FZ118" s="27" t="n"/>
      <c r="GA118" s="27" t="n"/>
      <c r="GB118" s="27" t="n"/>
      <c r="GC118" s="27" t="n"/>
      <c r="GD118" s="27" t="n"/>
      <c r="GE118" s="27" t="n"/>
      <c r="GF118" s="27" t="n"/>
      <c r="GG118" s="27" t="n"/>
      <c r="GH118" s="27" t="n"/>
      <c r="GI118" s="27" t="n"/>
      <c r="GJ118" s="27" t="n"/>
      <c r="GK118" s="27" t="n"/>
      <c r="GL118" s="27" t="n"/>
      <c r="GM118" s="27" t="n"/>
      <c r="GN118" s="27" t="n"/>
      <c r="GO118" s="27" t="n"/>
      <c r="GP118" s="27" t="n"/>
      <c r="GQ118" s="27" t="n"/>
      <c r="GR118" s="27" t="n"/>
      <c r="GS118" s="27" t="n"/>
      <c r="GT118" s="27" t="n"/>
      <c r="GU118" s="27" t="n"/>
      <c r="GV118" s="27" t="n"/>
      <c r="GW118" s="27" t="n"/>
      <c r="GX118" s="27" t="n"/>
      <c r="GY118" s="27" t="n"/>
      <c r="GZ118" s="27" t="n"/>
      <c r="HA118" s="27" t="n"/>
      <c r="HB118" s="27" t="n"/>
      <c r="HC118" s="27" t="n"/>
      <c r="HD118" s="27" t="n"/>
      <c r="HE118" s="27" t="n"/>
      <c r="HF118" s="27" t="n"/>
      <c r="HG118" s="27" t="n"/>
      <c r="HH118" s="27" t="n"/>
      <c r="HI118" s="27" t="n"/>
      <c r="HJ118" s="27" t="n"/>
      <c r="HK118" s="27" t="n"/>
      <c r="HL118" s="27" t="n"/>
      <c r="HM118" s="27" t="n"/>
      <c r="HN118" s="27" t="n"/>
      <c r="HO118" s="27" t="n"/>
      <c r="HP118" s="27" t="n"/>
      <c r="HQ118" s="27" t="n"/>
      <c r="HR118" s="27" t="n"/>
      <c r="HS118" s="27" t="n"/>
      <c r="HT118" s="27" t="n"/>
      <c r="HU118" s="27" t="n"/>
      <c r="HV118" s="27" t="n"/>
      <c r="HW118" s="27" t="n"/>
      <c r="HX118" s="27" t="n"/>
      <c r="HY118" s="27" t="n"/>
      <c r="HZ118" s="27" t="n"/>
      <c r="IA118" s="27" t="n"/>
      <c r="IB118" s="27" t="n"/>
      <c r="IC118" s="27" t="n"/>
      <c r="ID118" s="27" t="n"/>
      <c r="IE118" s="27" t="n"/>
      <c r="IF118" s="27" t="n"/>
      <c r="IG118" s="27" t="n"/>
      <c r="IH118" s="27" t="n"/>
      <c r="II118" s="27" t="n"/>
      <c r="IJ118" s="27" t="n"/>
      <c r="IK118" s="27" t="n"/>
      <c r="IL118" s="27" t="n"/>
      <c r="IM118" s="27" t="n"/>
      <c r="IN118" s="27" t="n"/>
      <c r="IO118" s="27" t="n"/>
      <c r="IP118" s="27" t="n"/>
      <c r="IQ118" s="27" t="n"/>
      <c r="IR118" s="27" t="n"/>
      <c r="IS118" s="27" t="n"/>
      <c r="IT118" s="27" t="n"/>
      <c r="IU118" s="27" t="n"/>
      <c r="IV118" s="27" t="n"/>
    </row>
    <row r="119" ht="13" customHeight="1" s="195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  <c r="AA119" s="27" t="n"/>
      <c r="AB119" s="27" t="n"/>
      <c r="AC119" s="27" t="n"/>
      <c r="AD119" s="27" t="n"/>
      <c r="AE119" s="27" t="n"/>
      <c r="AF119" s="27" t="n"/>
      <c r="AG119" s="27" t="n"/>
      <c r="AH119" s="27" t="n"/>
      <c r="AI119" s="27" t="n"/>
      <c r="AJ119" s="27" t="n"/>
      <c r="AK119" s="27" t="n"/>
      <c r="AL119" s="27" t="n"/>
      <c r="AM119" s="27" t="n"/>
      <c r="AN119" s="27" t="n"/>
      <c r="AO119" s="27" t="n"/>
      <c r="AP119" s="27" t="n"/>
      <c r="AQ119" s="27" t="n"/>
      <c r="AR119" s="27" t="n"/>
      <c r="AS119" s="27" t="n"/>
      <c r="AT119" s="27" t="n"/>
      <c r="AU119" s="27" t="n"/>
      <c r="AV119" s="27" t="n"/>
      <c r="AW119" s="27" t="n"/>
      <c r="AX119" s="27" t="n"/>
      <c r="AY119" s="27" t="n"/>
      <c r="AZ119" s="27" t="n"/>
      <c r="BA119" s="27" t="n"/>
      <c r="BB119" s="27" t="n"/>
      <c r="BC119" s="27" t="n"/>
      <c r="BD119" s="27" t="n"/>
      <c r="BE119" s="27" t="n"/>
      <c r="BF119" s="27" t="n"/>
      <c r="BG119" s="27" t="n"/>
      <c r="BH119" s="27" t="n"/>
      <c r="BI119" s="27" t="n"/>
      <c r="BJ119" s="27" t="n"/>
      <c r="BK119" s="27" t="n"/>
      <c r="BL119" s="27" t="n"/>
      <c r="BM119" s="27" t="n"/>
      <c r="BN119" s="27" t="n"/>
      <c r="BO119" s="27" t="n"/>
      <c r="BP119" s="27" t="n"/>
      <c r="BQ119" s="27" t="n"/>
      <c r="BR119" s="27" t="n"/>
      <c r="BS119" s="27" t="n"/>
      <c r="BT119" s="27" t="n"/>
      <c r="BU119" s="27" t="n"/>
      <c r="BV119" s="27" t="n"/>
      <c r="BW119" s="27" t="n"/>
      <c r="BX119" s="27" t="n"/>
      <c r="BY119" s="27" t="n"/>
      <c r="BZ119" s="27" t="n"/>
      <c r="CA119" s="27" t="n"/>
      <c r="CB119" s="27" t="n"/>
      <c r="CC119" s="27" t="n"/>
      <c r="CD119" s="27" t="n"/>
      <c r="CE119" s="27" t="n"/>
      <c r="CF119" s="27" t="n"/>
      <c r="CG119" s="27" t="n"/>
      <c r="CH119" s="27" t="n"/>
      <c r="CI119" s="27" t="n"/>
      <c r="CJ119" s="27" t="n"/>
      <c r="CK119" s="27" t="n"/>
      <c r="CL119" s="27" t="n"/>
      <c r="CM119" s="27" t="n"/>
      <c r="CN119" s="27" t="n"/>
      <c r="CO119" s="27" t="n"/>
      <c r="CP119" s="27" t="n"/>
      <c r="CQ119" s="27" t="n"/>
      <c r="CR119" s="27" t="n"/>
      <c r="CS119" s="27" t="n"/>
      <c r="CT119" s="27" t="n"/>
      <c r="CU119" s="27" t="n"/>
      <c r="CV119" s="27" t="n"/>
      <c r="CW119" s="27" t="n"/>
      <c r="CX119" s="27" t="n"/>
      <c r="CY119" s="27" t="n"/>
      <c r="CZ119" s="27" t="n"/>
      <c r="DA119" s="27" t="n"/>
      <c r="DB119" s="27" t="n"/>
      <c r="DC119" s="27" t="n"/>
      <c r="DD119" s="27" t="n"/>
      <c r="DE119" s="27" t="n"/>
      <c r="DF119" s="27" t="n"/>
      <c r="DG119" s="27" t="n"/>
      <c r="DH119" s="27" t="n"/>
      <c r="DI119" s="27" t="n"/>
      <c r="DJ119" s="27" t="n"/>
      <c r="DK119" s="27" t="n"/>
      <c r="DL119" s="27" t="n"/>
      <c r="DM119" s="27" t="n"/>
      <c r="DN119" s="27" t="n"/>
      <c r="DO119" s="27" t="n"/>
      <c r="DP119" s="27" t="n"/>
      <c r="DQ119" s="27" t="n"/>
      <c r="DR119" s="27" t="n"/>
      <c r="DS119" s="27" t="n"/>
      <c r="DT119" s="27" t="n"/>
      <c r="DU119" s="27" t="n"/>
      <c r="DV119" s="27" t="n"/>
      <c r="DW119" s="27" t="n"/>
      <c r="DX119" s="27" t="n"/>
      <c r="DY119" s="27" t="n"/>
      <c r="DZ119" s="27" t="n"/>
      <c r="EA119" s="27" t="n"/>
      <c r="EB119" s="27" t="n"/>
      <c r="EC119" s="27" t="n"/>
      <c r="ED119" s="27" t="n"/>
      <c r="EE119" s="27" t="n"/>
      <c r="EF119" s="27" t="n"/>
      <c r="EG119" s="27" t="n"/>
      <c r="EH119" s="27" t="n"/>
      <c r="EI119" s="27" t="n"/>
      <c r="EJ119" s="27" t="n"/>
      <c r="EK119" s="27" t="n"/>
      <c r="EL119" s="27" t="n"/>
      <c r="EM119" s="27" t="n"/>
      <c r="EN119" s="27" t="n"/>
      <c r="EO119" s="27" t="n"/>
      <c r="EP119" s="27" t="n"/>
      <c r="EQ119" s="27" t="n"/>
      <c r="ER119" s="27" t="n"/>
      <c r="ES119" s="27" t="n"/>
      <c r="ET119" s="27" t="n"/>
      <c r="EU119" s="27" t="n"/>
      <c r="EV119" s="27" t="n"/>
      <c r="EW119" s="27" t="n"/>
      <c r="EX119" s="27" t="n"/>
      <c r="EY119" s="27" t="n"/>
      <c r="EZ119" s="27" t="n"/>
      <c r="FA119" s="27" t="n"/>
      <c r="FB119" s="27" t="n"/>
      <c r="FC119" s="27" t="n"/>
      <c r="FD119" s="27" t="n"/>
      <c r="FE119" s="27" t="n"/>
      <c r="FF119" s="27" t="n"/>
      <c r="FG119" s="27" t="n"/>
      <c r="FH119" s="27" t="n"/>
      <c r="FI119" s="27" t="n"/>
      <c r="FJ119" s="27" t="n"/>
      <c r="FK119" s="27" t="n"/>
      <c r="FL119" s="27" t="n"/>
      <c r="FM119" s="27" t="n"/>
      <c r="FN119" s="27" t="n"/>
      <c r="FO119" s="27" t="n"/>
      <c r="FP119" s="27" t="n"/>
      <c r="FQ119" s="27" t="n"/>
      <c r="FR119" s="27" t="n"/>
      <c r="FS119" s="27" t="n"/>
      <c r="FT119" s="27" t="n"/>
      <c r="FU119" s="27" t="n"/>
      <c r="FV119" s="27" t="n"/>
      <c r="FW119" s="27" t="n"/>
      <c r="FX119" s="27" t="n"/>
      <c r="FY119" s="27" t="n"/>
      <c r="FZ119" s="27" t="n"/>
      <c r="GA119" s="27" t="n"/>
      <c r="GB119" s="27" t="n"/>
      <c r="GC119" s="27" t="n"/>
      <c r="GD119" s="27" t="n"/>
      <c r="GE119" s="27" t="n"/>
      <c r="GF119" s="27" t="n"/>
      <c r="GG119" s="27" t="n"/>
      <c r="GH119" s="27" t="n"/>
      <c r="GI119" s="27" t="n"/>
      <c r="GJ119" s="27" t="n"/>
      <c r="GK119" s="27" t="n"/>
      <c r="GL119" s="27" t="n"/>
      <c r="GM119" s="27" t="n"/>
      <c r="GN119" s="27" t="n"/>
      <c r="GO119" s="27" t="n"/>
      <c r="GP119" s="27" t="n"/>
      <c r="GQ119" s="27" t="n"/>
      <c r="GR119" s="27" t="n"/>
      <c r="GS119" s="27" t="n"/>
      <c r="GT119" s="27" t="n"/>
      <c r="GU119" s="27" t="n"/>
      <c r="GV119" s="27" t="n"/>
      <c r="GW119" s="27" t="n"/>
      <c r="GX119" s="27" t="n"/>
      <c r="GY119" s="27" t="n"/>
      <c r="GZ119" s="27" t="n"/>
      <c r="HA119" s="27" t="n"/>
      <c r="HB119" s="27" t="n"/>
      <c r="HC119" s="27" t="n"/>
      <c r="HD119" s="27" t="n"/>
      <c r="HE119" s="27" t="n"/>
      <c r="HF119" s="27" t="n"/>
      <c r="HG119" s="27" t="n"/>
      <c r="HH119" s="27" t="n"/>
      <c r="HI119" s="27" t="n"/>
      <c r="HJ119" s="27" t="n"/>
      <c r="HK119" s="27" t="n"/>
      <c r="HL119" s="27" t="n"/>
      <c r="HM119" s="27" t="n"/>
      <c r="HN119" s="27" t="n"/>
      <c r="HO119" s="27" t="n"/>
      <c r="HP119" s="27" t="n"/>
      <c r="HQ119" s="27" t="n"/>
      <c r="HR119" s="27" t="n"/>
      <c r="HS119" s="27" t="n"/>
      <c r="HT119" s="27" t="n"/>
      <c r="HU119" s="27" t="n"/>
      <c r="HV119" s="27" t="n"/>
      <c r="HW119" s="27" t="n"/>
      <c r="HX119" s="27" t="n"/>
      <c r="HY119" s="27" t="n"/>
      <c r="HZ119" s="27" t="n"/>
      <c r="IA119" s="27" t="n"/>
      <c r="IB119" s="27" t="n"/>
      <c r="IC119" s="27" t="n"/>
      <c r="ID119" s="27" t="n"/>
      <c r="IE119" s="27" t="n"/>
      <c r="IF119" s="27" t="n"/>
      <c r="IG119" s="27" t="n"/>
      <c r="IH119" s="27" t="n"/>
      <c r="II119" s="27" t="n"/>
      <c r="IJ119" s="27" t="n"/>
      <c r="IK119" s="27" t="n"/>
      <c r="IL119" s="27" t="n"/>
      <c r="IM119" s="27" t="n"/>
      <c r="IN119" s="27" t="n"/>
      <c r="IO119" s="27" t="n"/>
      <c r="IP119" s="27" t="n"/>
      <c r="IQ119" s="27" t="n"/>
      <c r="IR119" s="27" t="n"/>
      <c r="IS119" s="27" t="n"/>
      <c r="IT119" s="27" t="n"/>
      <c r="IU119" s="27" t="n"/>
      <c r="IV119" s="27" t="n"/>
    </row>
    <row r="120" ht="13" customHeight="1" s="195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  <c r="BU120" s="27" t="n"/>
      <c r="BV120" s="27" t="n"/>
      <c r="BW120" s="27" t="n"/>
      <c r="BX120" s="27" t="n"/>
      <c r="BY120" s="27" t="n"/>
      <c r="BZ120" s="27" t="n"/>
      <c r="CA120" s="27" t="n"/>
      <c r="CB120" s="27" t="n"/>
      <c r="CC120" s="27" t="n"/>
      <c r="CD120" s="27" t="n"/>
      <c r="CE120" s="27" t="n"/>
      <c r="CF120" s="27" t="n"/>
      <c r="CG120" s="27" t="n"/>
      <c r="CH120" s="27" t="n"/>
      <c r="CI120" s="27" t="n"/>
      <c r="CJ120" s="27" t="n"/>
      <c r="CK120" s="27" t="n"/>
      <c r="CL120" s="27" t="n"/>
      <c r="CM120" s="27" t="n"/>
      <c r="CN120" s="27" t="n"/>
      <c r="CO120" s="27" t="n"/>
      <c r="CP120" s="27" t="n"/>
      <c r="CQ120" s="27" t="n"/>
      <c r="CR120" s="27" t="n"/>
      <c r="CS120" s="27" t="n"/>
      <c r="CT120" s="27" t="n"/>
      <c r="CU120" s="27" t="n"/>
      <c r="CV120" s="27" t="n"/>
      <c r="CW120" s="27" t="n"/>
      <c r="CX120" s="27" t="n"/>
      <c r="CY120" s="27" t="n"/>
      <c r="CZ120" s="27" t="n"/>
      <c r="DA120" s="27" t="n"/>
      <c r="DB120" s="27" t="n"/>
      <c r="DC120" s="27" t="n"/>
      <c r="DD120" s="27" t="n"/>
      <c r="DE120" s="27" t="n"/>
      <c r="DF120" s="27" t="n"/>
      <c r="DG120" s="27" t="n"/>
      <c r="DH120" s="27" t="n"/>
      <c r="DI120" s="27" t="n"/>
      <c r="DJ120" s="27" t="n"/>
      <c r="DK120" s="27" t="n"/>
      <c r="DL120" s="27" t="n"/>
      <c r="DM120" s="27" t="n"/>
      <c r="DN120" s="27" t="n"/>
      <c r="DO120" s="27" t="n"/>
      <c r="DP120" s="27" t="n"/>
      <c r="DQ120" s="27" t="n"/>
      <c r="DR120" s="27" t="n"/>
      <c r="DS120" s="27" t="n"/>
      <c r="DT120" s="27" t="n"/>
      <c r="DU120" s="27" t="n"/>
      <c r="DV120" s="27" t="n"/>
      <c r="DW120" s="27" t="n"/>
      <c r="DX120" s="27" t="n"/>
      <c r="DY120" s="27" t="n"/>
      <c r="DZ120" s="27" t="n"/>
      <c r="EA120" s="27" t="n"/>
      <c r="EB120" s="27" t="n"/>
      <c r="EC120" s="27" t="n"/>
      <c r="ED120" s="27" t="n"/>
      <c r="EE120" s="27" t="n"/>
      <c r="EF120" s="27" t="n"/>
      <c r="EG120" s="27" t="n"/>
      <c r="EH120" s="27" t="n"/>
      <c r="EI120" s="27" t="n"/>
      <c r="EJ120" s="27" t="n"/>
      <c r="EK120" s="27" t="n"/>
      <c r="EL120" s="27" t="n"/>
      <c r="EM120" s="27" t="n"/>
      <c r="EN120" s="27" t="n"/>
      <c r="EO120" s="27" t="n"/>
      <c r="EP120" s="27" t="n"/>
      <c r="EQ120" s="27" t="n"/>
      <c r="ER120" s="27" t="n"/>
      <c r="ES120" s="27" t="n"/>
      <c r="ET120" s="27" t="n"/>
      <c r="EU120" s="27" t="n"/>
      <c r="EV120" s="27" t="n"/>
      <c r="EW120" s="27" t="n"/>
      <c r="EX120" s="27" t="n"/>
      <c r="EY120" s="27" t="n"/>
      <c r="EZ120" s="27" t="n"/>
      <c r="FA120" s="27" t="n"/>
      <c r="FB120" s="27" t="n"/>
      <c r="FC120" s="27" t="n"/>
      <c r="FD120" s="27" t="n"/>
      <c r="FE120" s="27" t="n"/>
      <c r="FF120" s="27" t="n"/>
      <c r="FG120" s="27" t="n"/>
      <c r="FH120" s="27" t="n"/>
      <c r="FI120" s="27" t="n"/>
      <c r="FJ120" s="27" t="n"/>
      <c r="FK120" s="27" t="n"/>
      <c r="FL120" s="27" t="n"/>
      <c r="FM120" s="27" t="n"/>
      <c r="FN120" s="27" t="n"/>
      <c r="FO120" s="27" t="n"/>
      <c r="FP120" s="27" t="n"/>
      <c r="FQ120" s="27" t="n"/>
      <c r="FR120" s="27" t="n"/>
      <c r="FS120" s="27" t="n"/>
      <c r="FT120" s="27" t="n"/>
      <c r="FU120" s="27" t="n"/>
      <c r="FV120" s="27" t="n"/>
      <c r="FW120" s="27" t="n"/>
      <c r="FX120" s="27" t="n"/>
      <c r="FY120" s="27" t="n"/>
      <c r="FZ120" s="27" t="n"/>
      <c r="GA120" s="27" t="n"/>
      <c r="GB120" s="27" t="n"/>
      <c r="GC120" s="27" t="n"/>
      <c r="GD120" s="27" t="n"/>
      <c r="GE120" s="27" t="n"/>
      <c r="GF120" s="27" t="n"/>
      <c r="GG120" s="27" t="n"/>
      <c r="GH120" s="27" t="n"/>
      <c r="GI120" s="27" t="n"/>
      <c r="GJ120" s="27" t="n"/>
      <c r="GK120" s="27" t="n"/>
      <c r="GL120" s="27" t="n"/>
      <c r="GM120" s="27" t="n"/>
      <c r="GN120" s="27" t="n"/>
      <c r="GO120" s="27" t="n"/>
      <c r="GP120" s="27" t="n"/>
      <c r="GQ120" s="27" t="n"/>
      <c r="GR120" s="27" t="n"/>
      <c r="GS120" s="27" t="n"/>
      <c r="GT120" s="27" t="n"/>
      <c r="GU120" s="27" t="n"/>
      <c r="GV120" s="27" t="n"/>
      <c r="GW120" s="27" t="n"/>
      <c r="GX120" s="27" t="n"/>
      <c r="GY120" s="27" t="n"/>
      <c r="GZ120" s="27" t="n"/>
      <c r="HA120" s="27" t="n"/>
      <c r="HB120" s="27" t="n"/>
      <c r="HC120" s="27" t="n"/>
      <c r="HD120" s="27" t="n"/>
      <c r="HE120" s="27" t="n"/>
      <c r="HF120" s="27" t="n"/>
      <c r="HG120" s="27" t="n"/>
      <c r="HH120" s="27" t="n"/>
      <c r="HI120" s="27" t="n"/>
      <c r="HJ120" s="27" t="n"/>
      <c r="HK120" s="27" t="n"/>
      <c r="HL120" s="27" t="n"/>
      <c r="HM120" s="27" t="n"/>
      <c r="HN120" s="27" t="n"/>
      <c r="HO120" s="27" t="n"/>
      <c r="HP120" s="27" t="n"/>
      <c r="HQ120" s="27" t="n"/>
      <c r="HR120" s="27" t="n"/>
      <c r="HS120" s="27" t="n"/>
      <c r="HT120" s="27" t="n"/>
      <c r="HU120" s="27" t="n"/>
      <c r="HV120" s="27" t="n"/>
      <c r="HW120" s="27" t="n"/>
      <c r="HX120" s="27" t="n"/>
      <c r="HY120" s="27" t="n"/>
      <c r="HZ120" s="27" t="n"/>
      <c r="IA120" s="27" t="n"/>
      <c r="IB120" s="27" t="n"/>
      <c r="IC120" s="27" t="n"/>
      <c r="ID120" s="27" t="n"/>
      <c r="IE120" s="27" t="n"/>
      <c r="IF120" s="27" t="n"/>
      <c r="IG120" s="27" t="n"/>
      <c r="IH120" s="27" t="n"/>
      <c r="II120" s="27" t="n"/>
      <c r="IJ120" s="27" t="n"/>
      <c r="IK120" s="27" t="n"/>
      <c r="IL120" s="27" t="n"/>
      <c r="IM120" s="27" t="n"/>
      <c r="IN120" s="27" t="n"/>
      <c r="IO120" s="27" t="n"/>
      <c r="IP120" s="27" t="n"/>
      <c r="IQ120" s="27" t="n"/>
      <c r="IR120" s="27" t="n"/>
      <c r="IS120" s="27" t="n"/>
      <c r="IT120" s="27" t="n"/>
      <c r="IU120" s="27" t="n"/>
      <c r="IV120" s="27" t="n"/>
    </row>
    <row r="121" ht="13" customHeight="1" s="195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  <c r="AA121" s="27" t="n"/>
      <c r="AB121" s="27" t="n"/>
      <c r="AC121" s="27" t="n"/>
      <c r="AD121" s="27" t="n"/>
      <c r="AE121" s="27" t="n"/>
      <c r="AF121" s="27" t="n"/>
      <c r="AG121" s="27" t="n"/>
      <c r="AH121" s="27" t="n"/>
      <c r="AI121" s="27" t="n"/>
      <c r="AJ121" s="27" t="n"/>
      <c r="AK121" s="27" t="n"/>
      <c r="AL121" s="27" t="n"/>
      <c r="AM121" s="27" t="n"/>
      <c r="AN121" s="27" t="n"/>
      <c r="AO121" s="27" t="n"/>
      <c r="AP121" s="27" t="n"/>
      <c r="AQ121" s="27" t="n"/>
      <c r="AR121" s="27" t="n"/>
      <c r="AS121" s="27" t="n"/>
      <c r="AT121" s="27" t="n"/>
      <c r="AU121" s="27" t="n"/>
      <c r="AV121" s="27" t="n"/>
      <c r="AW121" s="27" t="n"/>
      <c r="AX121" s="27" t="n"/>
      <c r="AY121" s="27" t="n"/>
      <c r="AZ121" s="27" t="n"/>
      <c r="BA121" s="27" t="n"/>
      <c r="BB121" s="27" t="n"/>
      <c r="BC121" s="27" t="n"/>
      <c r="BD121" s="27" t="n"/>
      <c r="BE121" s="27" t="n"/>
      <c r="BF121" s="27" t="n"/>
      <c r="BG121" s="27" t="n"/>
      <c r="BH121" s="27" t="n"/>
      <c r="BI121" s="27" t="n"/>
      <c r="BJ121" s="27" t="n"/>
      <c r="BK121" s="27" t="n"/>
      <c r="BL121" s="27" t="n"/>
      <c r="BM121" s="27" t="n"/>
      <c r="BN121" s="27" t="n"/>
      <c r="BO121" s="27" t="n"/>
      <c r="BP121" s="27" t="n"/>
      <c r="BQ121" s="27" t="n"/>
      <c r="BR121" s="27" t="n"/>
      <c r="BS121" s="27" t="n"/>
      <c r="BT121" s="27" t="n"/>
      <c r="BU121" s="27" t="n"/>
      <c r="BV121" s="27" t="n"/>
      <c r="BW121" s="27" t="n"/>
      <c r="BX121" s="27" t="n"/>
      <c r="BY121" s="27" t="n"/>
      <c r="BZ121" s="27" t="n"/>
      <c r="CA121" s="27" t="n"/>
      <c r="CB121" s="27" t="n"/>
      <c r="CC121" s="27" t="n"/>
      <c r="CD121" s="27" t="n"/>
      <c r="CE121" s="27" t="n"/>
      <c r="CF121" s="27" t="n"/>
      <c r="CG121" s="27" t="n"/>
      <c r="CH121" s="27" t="n"/>
      <c r="CI121" s="27" t="n"/>
      <c r="CJ121" s="27" t="n"/>
      <c r="CK121" s="27" t="n"/>
      <c r="CL121" s="27" t="n"/>
      <c r="CM121" s="27" t="n"/>
      <c r="CN121" s="27" t="n"/>
      <c r="CO121" s="27" t="n"/>
      <c r="CP121" s="27" t="n"/>
      <c r="CQ121" s="27" t="n"/>
      <c r="CR121" s="27" t="n"/>
      <c r="CS121" s="27" t="n"/>
      <c r="CT121" s="27" t="n"/>
      <c r="CU121" s="27" t="n"/>
      <c r="CV121" s="27" t="n"/>
      <c r="CW121" s="27" t="n"/>
      <c r="CX121" s="27" t="n"/>
      <c r="CY121" s="27" t="n"/>
      <c r="CZ121" s="27" t="n"/>
      <c r="DA121" s="27" t="n"/>
      <c r="DB121" s="27" t="n"/>
      <c r="DC121" s="27" t="n"/>
      <c r="DD121" s="27" t="n"/>
      <c r="DE121" s="27" t="n"/>
      <c r="DF121" s="27" t="n"/>
      <c r="DG121" s="27" t="n"/>
      <c r="DH121" s="27" t="n"/>
      <c r="DI121" s="27" t="n"/>
      <c r="DJ121" s="27" t="n"/>
      <c r="DK121" s="27" t="n"/>
      <c r="DL121" s="27" t="n"/>
      <c r="DM121" s="27" t="n"/>
      <c r="DN121" s="27" t="n"/>
      <c r="DO121" s="27" t="n"/>
      <c r="DP121" s="27" t="n"/>
      <c r="DQ121" s="27" t="n"/>
      <c r="DR121" s="27" t="n"/>
      <c r="DS121" s="27" t="n"/>
      <c r="DT121" s="27" t="n"/>
      <c r="DU121" s="27" t="n"/>
      <c r="DV121" s="27" t="n"/>
      <c r="DW121" s="27" t="n"/>
      <c r="DX121" s="27" t="n"/>
      <c r="DY121" s="27" t="n"/>
      <c r="DZ121" s="27" t="n"/>
      <c r="EA121" s="27" t="n"/>
      <c r="EB121" s="27" t="n"/>
      <c r="EC121" s="27" t="n"/>
      <c r="ED121" s="27" t="n"/>
      <c r="EE121" s="27" t="n"/>
      <c r="EF121" s="27" t="n"/>
      <c r="EG121" s="27" t="n"/>
      <c r="EH121" s="27" t="n"/>
      <c r="EI121" s="27" t="n"/>
      <c r="EJ121" s="27" t="n"/>
      <c r="EK121" s="27" t="n"/>
      <c r="EL121" s="27" t="n"/>
      <c r="EM121" s="27" t="n"/>
      <c r="EN121" s="27" t="n"/>
      <c r="EO121" s="27" t="n"/>
      <c r="EP121" s="27" t="n"/>
      <c r="EQ121" s="27" t="n"/>
      <c r="ER121" s="27" t="n"/>
      <c r="ES121" s="27" t="n"/>
      <c r="ET121" s="27" t="n"/>
      <c r="EU121" s="27" t="n"/>
      <c r="EV121" s="27" t="n"/>
      <c r="EW121" s="27" t="n"/>
      <c r="EX121" s="27" t="n"/>
      <c r="EY121" s="27" t="n"/>
      <c r="EZ121" s="27" t="n"/>
      <c r="FA121" s="27" t="n"/>
      <c r="FB121" s="27" t="n"/>
      <c r="FC121" s="27" t="n"/>
      <c r="FD121" s="27" t="n"/>
      <c r="FE121" s="27" t="n"/>
      <c r="FF121" s="27" t="n"/>
      <c r="FG121" s="27" t="n"/>
      <c r="FH121" s="27" t="n"/>
      <c r="FI121" s="27" t="n"/>
      <c r="FJ121" s="27" t="n"/>
      <c r="FK121" s="27" t="n"/>
      <c r="FL121" s="27" t="n"/>
      <c r="FM121" s="27" t="n"/>
      <c r="FN121" s="27" t="n"/>
      <c r="FO121" s="27" t="n"/>
      <c r="FP121" s="27" t="n"/>
      <c r="FQ121" s="27" t="n"/>
      <c r="FR121" s="27" t="n"/>
      <c r="FS121" s="27" t="n"/>
      <c r="FT121" s="27" t="n"/>
      <c r="FU121" s="27" t="n"/>
      <c r="FV121" s="27" t="n"/>
      <c r="FW121" s="27" t="n"/>
      <c r="FX121" s="27" t="n"/>
      <c r="FY121" s="27" t="n"/>
      <c r="FZ121" s="27" t="n"/>
      <c r="GA121" s="27" t="n"/>
      <c r="GB121" s="27" t="n"/>
      <c r="GC121" s="27" t="n"/>
      <c r="GD121" s="27" t="n"/>
      <c r="GE121" s="27" t="n"/>
      <c r="GF121" s="27" t="n"/>
      <c r="GG121" s="27" t="n"/>
      <c r="GH121" s="27" t="n"/>
      <c r="GI121" s="27" t="n"/>
      <c r="GJ121" s="27" t="n"/>
      <c r="GK121" s="27" t="n"/>
      <c r="GL121" s="27" t="n"/>
      <c r="GM121" s="27" t="n"/>
      <c r="GN121" s="27" t="n"/>
      <c r="GO121" s="27" t="n"/>
      <c r="GP121" s="27" t="n"/>
      <c r="GQ121" s="27" t="n"/>
      <c r="GR121" s="27" t="n"/>
      <c r="GS121" s="27" t="n"/>
      <c r="GT121" s="27" t="n"/>
      <c r="GU121" s="27" t="n"/>
      <c r="GV121" s="27" t="n"/>
      <c r="GW121" s="27" t="n"/>
      <c r="GX121" s="27" t="n"/>
      <c r="GY121" s="27" t="n"/>
      <c r="GZ121" s="27" t="n"/>
      <c r="HA121" s="27" t="n"/>
      <c r="HB121" s="27" t="n"/>
      <c r="HC121" s="27" t="n"/>
      <c r="HD121" s="27" t="n"/>
      <c r="HE121" s="27" t="n"/>
      <c r="HF121" s="27" t="n"/>
      <c r="HG121" s="27" t="n"/>
      <c r="HH121" s="27" t="n"/>
      <c r="HI121" s="27" t="n"/>
      <c r="HJ121" s="27" t="n"/>
      <c r="HK121" s="27" t="n"/>
      <c r="HL121" s="27" t="n"/>
      <c r="HM121" s="27" t="n"/>
      <c r="HN121" s="27" t="n"/>
      <c r="HO121" s="27" t="n"/>
      <c r="HP121" s="27" t="n"/>
      <c r="HQ121" s="27" t="n"/>
      <c r="HR121" s="27" t="n"/>
      <c r="HS121" s="27" t="n"/>
      <c r="HT121" s="27" t="n"/>
      <c r="HU121" s="27" t="n"/>
      <c r="HV121" s="27" t="n"/>
      <c r="HW121" s="27" t="n"/>
      <c r="HX121" s="27" t="n"/>
      <c r="HY121" s="27" t="n"/>
      <c r="HZ121" s="27" t="n"/>
      <c r="IA121" s="27" t="n"/>
      <c r="IB121" s="27" t="n"/>
      <c r="IC121" s="27" t="n"/>
      <c r="ID121" s="27" t="n"/>
      <c r="IE121" s="27" t="n"/>
      <c r="IF121" s="27" t="n"/>
      <c r="IG121" s="27" t="n"/>
      <c r="IH121" s="27" t="n"/>
      <c r="II121" s="27" t="n"/>
      <c r="IJ121" s="27" t="n"/>
      <c r="IK121" s="27" t="n"/>
      <c r="IL121" s="27" t="n"/>
      <c r="IM121" s="27" t="n"/>
      <c r="IN121" s="27" t="n"/>
      <c r="IO121" s="27" t="n"/>
      <c r="IP121" s="27" t="n"/>
      <c r="IQ121" s="27" t="n"/>
      <c r="IR121" s="27" t="n"/>
      <c r="IS121" s="27" t="n"/>
      <c r="IT121" s="27" t="n"/>
      <c r="IU121" s="27" t="n"/>
      <c r="IV121" s="27" t="n"/>
    </row>
    <row r="122" ht="13" customHeight="1" s="195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  <c r="BU122" s="27" t="n"/>
      <c r="BV122" s="27" t="n"/>
      <c r="BW122" s="27" t="n"/>
      <c r="BX122" s="27" t="n"/>
      <c r="BY122" s="27" t="n"/>
      <c r="BZ122" s="27" t="n"/>
      <c r="CA122" s="27" t="n"/>
      <c r="CB122" s="27" t="n"/>
      <c r="CC122" s="27" t="n"/>
      <c r="CD122" s="27" t="n"/>
      <c r="CE122" s="27" t="n"/>
      <c r="CF122" s="27" t="n"/>
      <c r="CG122" s="27" t="n"/>
      <c r="CH122" s="27" t="n"/>
      <c r="CI122" s="27" t="n"/>
      <c r="CJ122" s="27" t="n"/>
      <c r="CK122" s="27" t="n"/>
      <c r="CL122" s="27" t="n"/>
      <c r="CM122" s="27" t="n"/>
      <c r="CN122" s="27" t="n"/>
      <c r="CO122" s="27" t="n"/>
      <c r="CP122" s="27" t="n"/>
      <c r="CQ122" s="27" t="n"/>
      <c r="CR122" s="27" t="n"/>
      <c r="CS122" s="27" t="n"/>
      <c r="CT122" s="27" t="n"/>
      <c r="CU122" s="27" t="n"/>
      <c r="CV122" s="27" t="n"/>
      <c r="CW122" s="27" t="n"/>
      <c r="CX122" s="27" t="n"/>
      <c r="CY122" s="27" t="n"/>
      <c r="CZ122" s="27" t="n"/>
      <c r="DA122" s="27" t="n"/>
      <c r="DB122" s="27" t="n"/>
      <c r="DC122" s="27" t="n"/>
      <c r="DD122" s="27" t="n"/>
      <c r="DE122" s="27" t="n"/>
      <c r="DF122" s="27" t="n"/>
      <c r="DG122" s="27" t="n"/>
      <c r="DH122" s="27" t="n"/>
      <c r="DI122" s="27" t="n"/>
      <c r="DJ122" s="27" t="n"/>
      <c r="DK122" s="27" t="n"/>
      <c r="DL122" s="27" t="n"/>
      <c r="DM122" s="27" t="n"/>
      <c r="DN122" s="27" t="n"/>
      <c r="DO122" s="27" t="n"/>
      <c r="DP122" s="27" t="n"/>
      <c r="DQ122" s="27" t="n"/>
      <c r="DR122" s="27" t="n"/>
      <c r="DS122" s="27" t="n"/>
      <c r="DT122" s="27" t="n"/>
      <c r="DU122" s="27" t="n"/>
      <c r="DV122" s="27" t="n"/>
      <c r="DW122" s="27" t="n"/>
      <c r="DX122" s="27" t="n"/>
      <c r="DY122" s="27" t="n"/>
      <c r="DZ122" s="27" t="n"/>
      <c r="EA122" s="27" t="n"/>
      <c r="EB122" s="27" t="n"/>
      <c r="EC122" s="27" t="n"/>
      <c r="ED122" s="27" t="n"/>
      <c r="EE122" s="27" t="n"/>
      <c r="EF122" s="27" t="n"/>
      <c r="EG122" s="27" t="n"/>
      <c r="EH122" s="27" t="n"/>
      <c r="EI122" s="27" t="n"/>
      <c r="EJ122" s="27" t="n"/>
      <c r="EK122" s="27" t="n"/>
      <c r="EL122" s="27" t="n"/>
      <c r="EM122" s="27" t="n"/>
      <c r="EN122" s="27" t="n"/>
      <c r="EO122" s="27" t="n"/>
      <c r="EP122" s="27" t="n"/>
      <c r="EQ122" s="27" t="n"/>
      <c r="ER122" s="27" t="n"/>
      <c r="ES122" s="27" t="n"/>
      <c r="ET122" s="27" t="n"/>
      <c r="EU122" s="27" t="n"/>
      <c r="EV122" s="27" t="n"/>
      <c r="EW122" s="27" t="n"/>
      <c r="EX122" s="27" t="n"/>
      <c r="EY122" s="27" t="n"/>
      <c r="EZ122" s="27" t="n"/>
      <c r="FA122" s="27" t="n"/>
      <c r="FB122" s="27" t="n"/>
      <c r="FC122" s="27" t="n"/>
      <c r="FD122" s="27" t="n"/>
      <c r="FE122" s="27" t="n"/>
      <c r="FF122" s="27" t="n"/>
      <c r="FG122" s="27" t="n"/>
      <c r="FH122" s="27" t="n"/>
      <c r="FI122" s="27" t="n"/>
      <c r="FJ122" s="27" t="n"/>
      <c r="FK122" s="27" t="n"/>
      <c r="FL122" s="27" t="n"/>
      <c r="FM122" s="27" t="n"/>
      <c r="FN122" s="27" t="n"/>
      <c r="FO122" s="27" t="n"/>
      <c r="FP122" s="27" t="n"/>
      <c r="FQ122" s="27" t="n"/>
      <c r="FR122" s="27" t="n"/>
      <c r="FS122" s="27" t="n"/>
      <c r="FT122" s="27" t="n"/>
      <c r="FU122" s="27" t="n"/>
      <c r="FV122" s="27" t="n"/>
      <c r="FW122" s="27" t="n"/>
      <c r="FX122" s="27" t="n"/>
      <c r="FY122" s="27" t="n"/>
      <c r="FZ122" s="27" t="n"/>
      <c r="GA122" s="27" t="n"/>
      <c r="GB122" s="27" t="n"/>
      <c r="GC122" s="27" t="n"/>
      <c r="GD122" s="27" t="n"/>
      <c r="GE122" s="27" t="n"/>
      <c r="GF122" s="27" t="n"/>
      <c r="GG122" s="27" t="n"/>
      <c r="GH122" s="27" t="n"/>
      <c r="GI122" s="27" t="n"/>
      <c r="GJ122" s="27" t="n"/>
      <c r="GK122" s="27" t="n"/>
      <c r="GL122" s="27" t="n"/>
      <c r="GM122" s="27" t="n"/>
      <c r="GN122" s="27" t="n"/>
      <c r="GO122" s="27" t="n"/>
      <c r="GP122" s="27" t="n"/>
      <c r="GQ122" s="27" t="n"/>
      <c r="GR122" s="27" t="n"/>
      <c r="GS122" s="27" t="n"/>
      <c r="GT122" s="27" t="n"/>
      <c r="GU122" s="27" t="n"/>
      <c r="GV122" s="27" t="n"/>
      <c r="GW122" s="27" t="n"/>
      <c r="GX122" s="27" t="n"/>
      <c r="GY122" s="27" t="n"/>
      <c r="GZ122" s="27" t="n"/>
      <c r="HA122" s="27" t="n"/>
      <c r="HB122" s="27" t="n"/>
      <c r="HC122" s="27" t="n"/>
      <c r="HD122" s="27" t="n"/>
      <c r="HE122" s="27" t="n"/>
      <c r="HF122" s="27" t="n"/>
      <c r="HG122" s="27" t="n"/>
      <c r="HH122" s="27" t="n"/>
      <c r="HI122" s="27" t="n"/>
      <c r="HJ122" s="27" t="n"/>
      <c r="HK122" s="27" t="n"/>
      <c r="HL122" s="27" t="n"/>
      <c r="HM122" s="27" t="n"/>
      <c r="HN122" s="27" t="n"/>
      <c r="HO122" s="27" t="n"/>
      <c r="HP122" s="27" t="n"/>
      <c r="HQ122" s="27" t="n"/>
      <c r="HR122" s="27" t="n"/>
      <c r="HS122" s="27" t="n"/>
      <c r="HT122" s="27" t="n"/>
      <c r="HU122" s="27" t="n"/>
      <c r="HV122" s="27" t="n"/>
      <c r="HW122" s="27" t="n"/>
      <c r="HX122" s="27" t="n"/>
      <c r="HY122" s="27" t="n"/>
      <c r="HZ122" s="27" t="n"/>
      <c r="IA122" s="27" t="n"/>
      <c r="IB122" s="27" t="n"/>
      <c r="IC122" s="27" t="n"/>
      <c r="ID122" s="27" t="n"/>
      <c r="IE122" s="27" t="n"/>
      <c r="IF122" s="27" t="n"/>
      <c r="IG122" s="27" t="n"/>
      <c r="IH122" s="27" t="n"/>
      <c r="II122" s="27" t="n"/>
      <c r="IJ122" s="27" t="n"/>
      <c r="IK122" s="27" t="n"/>
      <c r="IL122" s="27" t="n"/>
      <c r="IM122" s="27" t="n"/>
      <c r="IN122" s="27" t="n"/>
      <c r="IO122" s="27" t="n"/>
      <c r="IP122" s="27" t="n"/>
      <c r="IQ122" s="27" t="n"/>
      <c r="IR122" s="27" t="n"/>
      <c r="IS122" s="27" t="n"/>
      <c r="IT122" s="27" t="n"/>
      <c r="IU122" s="27" t="n"/>
      <c r="IV122" s="27" t="n"/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  <c r="AA123" s="27" t="n"/>
      <c r="AB123" s="27" t="n"/>
      <c r="AC123" s="27" t="n"/>
      <c r="AD123" s="27" t="n"/>
      <c r="AE123" s="27" t="n"/>
      <c r="AF123" s="27" t="n"/>
      <c r="AG123" s="27" t="n"/>
      <c r="AH123" s="27" t="n"/>
      <c r="AI123" s="27" t="n"/>
      <c r="AJ123" s="27" t="n"/>
      <c r="AK123" s="27" t="n"/>
      <c r="AL123" s="27" t="n"/>
      <c r="AM123" s="27" t="n"/>
      <c r="AN123" s="27" t="n"/>
      <c r="AO123" s="27" t="n"/>
      <c r="AP123" s="27" t="n"/>
      <c r="AQ123" s="27" t="n"/>
      <c r="AR123" s="27" t="n"/>
      <c r="AS123" s="27" t="n"/>
      <c r="AT123" s="27" t="n"/>
      <c r="AU123" s="27" t="n"/>
      <c r="AV123" s="27" t="n"/>
      <c r="AW123" s="27" t="n"/>
      <c r="AX123" s="27" t="n"/>
      <c r="AY123" s="27" t="n"/>
      <c r="AZ123" s="27" t="n"/>
      <c r="BA123" s="27" t="n"/>
      <c r="BB123" s="27" t="n"/>
      <c r="BC123" s="27" t="n"/>
      <c r="BD123" s="27" t="n"/>
      <c r="BE123" s="27" t="n"/>
      <c r="BF123" s="27" t="n"/>
      <c r="BG123" s="27" t="n"/>
      <c r="BH123" s="27" t="n"/>
      <c r="BI123" s="27" t="n"/>
      <c r="BJ123" s="27" t="n"/>
      <c r="BK123" s="27" t="n"/>
      <c r="BL123" s="27" t="n"/>
      <c r="BM123" s="27" t="n"/>
      <c r="BN123" s="27" t="n"/>
      <c r="BO123" s="27" t="n"/>
      <c r="BP123" s="27" t="n"/>
      <c r="BQ123" s="27" t="n"/>
      <c r="BR123" s="27" t="n"/>
      <c r="BS123" s="27" t="n"/>
      <c r="BT123" s="27" t="n"/>
      <c r="BU123" s="27" t="n"/>
      <c r="BV123" s="27" t="n"/>
      <c r="BW123" s="27" t="n"/>
      <c r="BX123" s="27" t="n"/>
      <c r="BY123" s="27" t="n"/>
      <c r="BZ123" s="27" t="n"/>
      <c r="CA123" s="27" t="n"/>
      <c r="CB123" s="27" t="n"/>
      <c r="CC123" s="27" t="n"/>
      <c r="CD123" s="27" t="n"/>
      <c r="CE123" s="27" t="n"/>
      <c r="CF123" s="27" t="n"/>
      <c r="CG123" s="27" t="n"/>
      <c r="CH123" s="27" t="n"/>
      <c r="CI123" s="27" t="n"/>
      <c r="CJ123" s="27" t="n"/>
      <c r="CK123" s="27" t="n"/>
      <c r="CL123" s="27" t="n"/>
      <c r="CM123" s="27" t="n"/>
      <c r="CN123" s="27" t="n"/>
      <c r="CO123" s="27" t="n"/>
      <c r="CP123" s="27" t="n"/>
      <c r="CQ123" s="27" t="n"/>
      <c r="CR123" s="27" t="n"/>
      <c r="CS123" s="27" t="n"/>
      <c r="CT123" s="27" t="n"/>
      <c r="CU123" s="27" t="n"/>
      <c r="CV123" s="27" t="n"/>
      <c r="CW123" s="27" t="n"/>
      <c r="CX123" s="27" t="n"/>
      <c r="CY123" s="27" t="n"/>
      <c r="CZ123" s="27" t="n"/>
      <c r="DA123" s="27" t="n"/>
      <c r="DB123" s="27" t="n"/>
      <c r="DC123" s="27" t="n"/>
      <c r="DD123" s="27" t="n"/>
      <c r="DE123" s="27" t="n"/>
      <c r="DF123" s="27" t="n"/>
      <c r="DG123" s="27" t="n"/>
      <c r="DH123" s="27" t="n"/>
      <c r="DI123" s="27" t="n"/>
      <c r="DJ123" s="27" t="n"/>
      <c r="DK123" s="27" t="n"/>
      <c r="DL123" s="27" t="n"/>
      <c r="DM123" s="27" t="n"/>
      <c r="DN123" s="27" t="n"/>
      <c r="DO123" s="27" t="n"/>
      <c r="DP123" s="27" t="n"/>
      <c r="DQ123" s="27" t="n"/>
      <c r="DR123" s="27" t="n"/>
      <c r="DS123" s="27" t="n"/>
      <c r="DT123" s="27" t="n"/>
      <c r="DU123" s="27" t="n"/>
      <c r="DV123" s="27" t="n"/>
      <c r="DW123" s="27" t="n"/>
      <c r="DX123" s="27" t="n"/>
      <c r="DY123" s="27" t="n"/>
      <c r="DZ123" s="27" t="n"/>
      <c r="EA123" s="27" t="n"/>
      <c r="EB123" s="27" t="n"/>
      <c r="EC123" s="27" t="n"/>
      <c r="ED123" s="27" t="n"/>
      <c r="EE123" s="27" t="n"/>
      <c r="EF123" s="27" t="n"/>
      <c r="EG123" s="27" t="n"/>
      <c r="EH123" s="27" t="n"/>
      <c r="EI123" s="27" t="n"/>
      <c r="EJ123" s="27" t="n"/>
      <c r="EK123" s="27" t="n"/>
      <c r="EL123" s="27" t="n"/>
      <c r="EM123" s="27" t="n"/>
      <c r="EN123" s="27" t="n"/>
      <c r="EO123" s="27" t="n"/>
      <c r="EP123" s="27" t="n"/>
      <c r="EQ123" s="27" t="n"/>
      <c r="ER123" s="27" t="n"/>
      <c r="ES123" s="27" t="n"/>
      <c r="ET123" s="27" t="n"/>
      <c r="EU123" s="27" t="n"/>
      <c r="EV123" s="27" t="n"/>
      <c r="EW123" s="27" t="n"/>
      <c r="EX123" s="27" t="n"/>
      <c r="EY123" s="27" t="n"/>
      <c r="EZ123" s="27" t="n"/>
      <c r="FA123" s="27" t="n"/>
      <c r="FB123" s="27" t="n"/>
      <c r="FC123" s="27" t="n"/>
      <c r="FD123" s="27" t="n"/>
      <c r="FE123" s="27" t="n"/>
      <c r="FF123" s="27" t="n"/>
      <c r="FG123" s="27" t="n"/>
      <c r="FH123" s="27" t="n"/>
      <c r="FI123" s="27" t="n"/>
      <c r="FJ123" s="27" t="n"/>
      <c r="FK123" s="27" t="n"/>
      <c r="FL123" s="27" t="n"/>
      <c r="FM123" s="27" t="n"/>
      <c r="FN123" s="27" t="n"/>
      <c r="FO123" s="27" t="n"/>
      <c r="FP123" s="27" t="n"/>
      <c r="FQ123" s="27" t="n"/>
      <c r="FR123" s="27" t="n"/>
      <c r="FS123" s="27" t="n"/>
      <c r="FT123" s="27" t="n"/>
      <c r="FU123" s="27" t="n"/>
      <c r="FV123" s="27" t="n"/>
      <c r="FW123" s="27" t="n"/>
      <c r="FX123" s="27" t="n"/>
      <c r="FY123" s="27" t="n"/>
      <c r="FZ123" s="27" t="n"/>
      <c r="GA123" s="27" t="n"/>
      <c r="GB123" s="27" t="n"/>
      <c r="GC123" s="27" t="n"/>
      <c r="GD123" s="27" t="n"/>
      <c r="GE123" s="27" t="n"/>
      <c r="GF123" s="27" t="n"/>
      <c r="GG123" s="27" t="n"/>
      <c r="GH123" s="27" t="n"/>
      <c r="GI123" s="27" t="n"/>
      <c r="GJ123" s="27" t="n"/>
      <c r="GK123" s="27" t="n"/>
      <c r="GL123" s="27" t="n"/>
      <c r="GM123" s="27" t="n"/>
      <c r="GN123" s="27" t="n"/>
      <c r="GO123" s="27" t="n"/>
      <c r="GP123" s="27" t="n"/>
      <c r="GQ123" s="27" t="n"/>
      <c r="GR123" s="27" t="n"/>
      <c r="GS123" s="27" t="n"/>
      <c r="GT123" s="27" t="n"/>
      <c r="GU123" s="27" t="n"/>
      <c r="GV123" s="27" t="n"/>
      <c r="GW123" s="27" t="n"/>
      <c r="GX123" s="27" t="n"/>
      <c r="GY123" s="27" t="n"/>
      <c r="GZ123" s="27" t="n"/>
      <c r="HA123" s="27" t="n"/>
      <c r="HB123" s="27" t="n"/>
      <c r="HC123" s="27" t="n"/>
      <c r="HD123" s="27" t="n"/>
      <c r="HE123" s="27" t="n"/>
      <c r="HF123" s="27" t="n"/>
      <c r="HG123" s="27" t="n"/>
      <c r="HH123" s="27" t="n"/>
      <c r="HI123" s="27" t="n"/>
      <c r="HJ123" s="27" t="n"/>
      <c r="HK123" s="27" t="n"/>
      <c r="HL123" s="27" t="n"/>
      <c r="HM123" s="27" t="n"/>
      <c r="HN123" s="27" t="n"/>
      <c r="HO123" s="27" t="n"/>
      <c r="HP123" s="27" t="n"/>
      <c r="HQ123" s="27" t="n"/>
      <c r="HR123" s="27" t="n"/>
      <c r="HS123" s="27" t="n"/>
      <c r="HT123" s="27" t="n"/>
      <c r="HU123" s="27" t="n"/>
      <c r="HV123" s="27" t="n"/>
      <c r="HW123" s="27" t="n"/>
      <c r="HX123" s="27" t="n"/>
      <c r="HY123" s="27" t="n"/>
      <c r="HZ123" s="27" t="n"/>
      <c r="IA123" s="27" t="n"/>
      <c r="IB123" s="27" t="n"/>
      <c r="IC123" s="27" t="n"/>
      <c r="ID123" s="27" t="n"/>
      <c r="IE123" s="27" t="n"/>
      <c r="IF123" s="27" t="n"/>
      <c r="IG123" s="27" t="n"/>
      <c r="IH123" s="27" t="n"/>
      <c r="II123" s="27" t="n"/>
      <c r="IJ123" s="27" t="n"/>
      <c r="IK123" s="27" t="n"/>
      <c r="IL123" s="27" t="n"/>
      <c r="IM123" s="27" t="n"/>
      <c r="IN123" s="27" t="n"/>
      <c r="IO123" s="27" t="n"/>
      <c r="IP123" s="27" t="n"/>
      <c r="IQ123" s="27" t="n"/>
      <c r="IR123" s="27" t="n"/>
      <c r="IS123" s="27" t="n"/>
      <c r="IT123" s="27" t="n"/>
      <c r="IU123" s="27" t="n"/>
      <c r="IV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  <c r="BU124" s="27" t="n"/>
      <c r="BV124" s="27" t="n"/>
      <c r="BW124" s="27" t="n"/>
      <c r="BX124" s="27" t="n"/>
      <c r="BY124" s="27" t="n"/>
      <c r="BZ124" s="27" t="n"/>
      <c r="CA124" s="27" t="n"/>
      <c r="CB124" s="27" t="n"/>
      <c r="CC124" s="27" t="n"/>
      <c r="CD124" s="27" t="n"/>
      <c r="CE124" s="27" t="n"/>
      <c r="CF124" s="27" t="n"/>
      <c r="CG124" s="27" t="n"/>
      <c r="CH124" s="27" t="n"/>
      <c r="CI124" s="27" t="n"/>
      <c r="CJ124" s="27" t="n"/>
      <c r="CK124" s="27" t="n"/>
      <c r="CL124" s="27" t="n"/>
      <c r="CM124" s="27" t="n"/>
      <c r="CN124" s="27" t="n"/>
      <c r="CO124" s="27" t="n"/>
      <c r="CP124" s="27" t="n"/>
      <c r="CQ124" s="27" t="n"/>
      <c r="CR124" s="27" t="n"/>
      <c r="CS124" s="27" t="n"/>
      <c r="CT124" s="27" t="n"/>
      <c r="CU124" s="27" t="n"/>
      <c r="CV124" s="27" t="n"/>
      <c r="CW124" s="27" t="n"/>
      <c r="CX124" s="27" t="n"/>
      <c r="CY124" s="27" t="n"/>
      <c r="CZ124" s="27" t="n"/>
      <c r="DA124" s="27" t="n"/>
      <c r="DB124" s="27" t="n"/>
      <c r="DC124" s="27" t="n"/>
      <c r="DD124" s="27" t="n"/>
      <c r="DE124" s="27" t="n"/>
      <c r="DF124" s="27" t="n"/>
      <c r="DG124" s="27" t="n"/>
      <c r="DH124" s="27" t="n"/>
      <c r="DI124" s="27" t="n"/>
      <c r="DJ124" s="27" t="n"/>
      <c r="DK124" s="27" t="n"/>
      <c r="DL124" s="27" t="n"/>
      <c r="DM124" s="27" t="n"/>
      <c r="DN124" s="27" t="n"/>
      <c r="DO124" s="27" t="n"/>
      <c r="DP124" s="27" t="n"/>
      <c r="DQ124" s="27" t="n"/>
      <c r="DR124" s="27" t="n"/>
      <c r="DS124" s="27" t="n"/>
      <c r="DT124" s="27" t="n"/>
      <c r="DU124" s="27" t="n"/>
      <c r="DV124" s="27" t="n"/>
      <c r="DW124" s="27" t="n"/>
      <c r="DX124" s="27" t="n"/>
      <c r="DY124" s="27" t="n"/>
      <c r="DZ124" s="27" t="n"/>
      <c r="EA124" s="27" t="n"/>
      <c r="EB124" s="27" t="n"/>
      <c r="EC124" s="27" t="n"/>
      <c r="ED124" s="27" t="n"/>
      <c r="EE124" s="27" t="n"/>
      <c r="EF124" s="27" t="n"/>
      <c r="EG124" s="27" t="n"/>
      <c r="EH124" s="27" t="n"/>
      <c r="EI124" s="27" t="n"/>
      <c r="EJ124" s="27" t="n"/>
      <c r="EK124" s="27" t="n"/>
      <c r="EL124" s="27" t="n"/>
      <c r="EM124" s="27" t="n"/>
      <c r="EN124" s="27" t="n"/>
      <c r="EO124" s="27" t="n"/>
      <c r="EP124" s="27" t="n"/>
      <c r="EQ124" s="27" t="n"/>
      <c r="ER124" s="27" t="n"/>
      <c r="ES124" s="27" t="n"/>
      <c r="ET124" s="27" t="n"/>
      <c r="EU124" s="27" t="n"/>
      <c r="EV124" s="27" t="n"/>
      <c r="EW124" s="27" t="n"/>
      <c r="EX124" s="27" t="n"/>
      <c r="EY124" s="27" t="n"/>
      <c r="EZ124" s="27" t="n"/>
      <c r="FA124" s="27" t="n"/>
      <c r="FB124" s="27" t="n"/>
      <c r="FC124" s="27" t="n"/>
      <c r="FD124" s="27" t="n"/>
      <c r="FE124" s="27" t="n"/>
      <c r="FF124" s="27" t="n"/>
      <c r="FG124" s="27" t="n"/>
      <c r="FH124" s="27" t="n"/>
      <c r="FI124" s="27" t="n"/>
      <c r="FJ124" s="27" t="n"/>
      <c r="FK124" s="27" t="n"/>
      <c r="FL124" s="27" t="n"/>
      <c r="FM124" s="27" t="n"/>
      <c r="FN124" s="27" t="n"/>
      <c r="FO124" s="27" t="n"/>
      <c r="FP124" s="27" t="n"/>
      <c r="FQ124" s="27" t="n"/>
      <c r="FR124" s="27" t="n"/>
      <c r="FS124" s="27" t="n"/>
      <c r="FT124" s="27" t="n"/>
      <c r="FU124" s="27" t="n"/>
      <c r="FV124" s="27" t="n"/>
      <c r="FW124" s="27" t="n"/>
      <c r="FX124" s="27" t="n"/>
      <c r="FY124" s="27" t="n"/>
      <c r="FZ124" s="27" t="n"/>
      <c r="GA124" s="27" t="n"/>
      <c r="GB124" s="27" t="n"/>
      <c r="GC124" s="27" t="n"/>
      <c r="GD124" s="27" t="n"/>
      <c r="GE124" s="27" t="n"/>
      <c r="GF124" s="27" t="n"/>
      <c r="GG124" s="27" t="n"/>
      <c r="GH124" s="27" t="n"/>
      <c r="GI124" s="27" t="n"/>
      <c r="GJ124" s="27" t="n"/>
      <c r="GK124" s="27" t="n"/>
      <c r="GL124" s="27" t="n"/>
      <c r="GM124" s="27" t="n"/>
      <c r="GN124" s="27" t="n"/>
      <c r="GO124" s="27" t="n"/>
      <c r="GP124" s="27" t="n"/>
      <c r="GQ124" s="27" t="n"/>
      <c r="GR124" s="27" t="n"/>
      <c r="GS124" s="27" t="n"/>
      <c r="GT124" s="27" t="n"/>
      <c r="GU124" s="27" t="n"/>
      <c r="GV124" s="27" t="n"/>
      <c r="GW124" s="27" t="n"/>
      <c r="GX124" s="27" t="n"/>
      <c r="GY124" s="27" t="n"/>
      <c r="GZ124" s="27" t="n"/>
      <c r="HA124" s="27" t="n"/>
      <c r="HB124" s="27" t="n"/>
      <c r="HC124" s="27" t="n"/>
      <c r="HD124" s="27" t="n"/>
      <c r="HE124" s="27" t="n"/>
      <c r="HF124" s="27" t="n"/>
      <c r="HG124" s="27" t="n"/>
      <c r="HH124" s="27" t="n"/>
      <c r="HI124" s="27" t="n"/>
      <c r="HJ124" s="27" t="n"/>
      <c r="HK124" s="27" t="n"/>
      <c r="HL124" s="27" t="n"/>
      <c r="HM124" s="27" t="n"/>
      <c r="HN124" s="27" t="n"/>
      <c r="HO124" s="27" t="n"/>
      <c r="HP124" s="27" t="n"/>
      <c r="HQ124" s="27" t="n"/>
      <c r="HR124" s="27" t="n"/>
      <c r="HS124" s="27" t="n"/>
      <c r="HT124" s="27" t="n"/>
      <c r="HU124" s="27" t="n"/>
      <c r="HV124" s="27" t="n"/>
      <c r="HW124" s="27" t="n"/>
      <c r="HX124" s="27" t="n"/>
      <c r="HY124" s="27" t="n"/>
      <c r="HZ124" s="27" t="n"/>
      <c r="IA124" s="27" t="n"/>
      <c r="IB124" s="27" t="n"/>
      <c r="IC124" s="27" t="n"/>
      <c r="ID124" s="27" t="n"/>
      <c r="IE124" s="27" t="n"/>
      <c r="IF124" s="27" t="n"/>
      <c r="IG124" s="27" t="n"/>
      <c r="IH124" s="27" t="n"/>
      <c r="II124" s="27" t="n"/>
      <c r="IJ124" s="27" t="n"/>
      <c r="IK124" s="27" t="n"/>
      <c r="IL124" s="27" t="n"/>
      <c r="IM124" s="27" t="n"/>
      <c r="IN124" s="27" t="n"/>
      <c r="IO124" s="27" t="n"/>
      <c r="IP124" s="27" t="n"/>
      <c r="IQ124" s="27" t="n"/>
      <c r="IR124" s="27" t="n"/>
      <c r="IS124" s="27" t="n"/>
      <c r="IT124" s="27" t="n"/>
      <c r="IU124" s="27" t="n"/>
      <c r="IV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  <c r="AA125" s="27" t="n"/>
      <c r="AB125" s="27" t="n"/>
      <c r="AC125" s="27" t="n"/>
      <c r="AD125" s="27" t="n"/>
      <c r="AE125" s="27" t="n"/>
      <c r="AF125" s="27" t="n"/>
      <c r="AG125" s="27" t="n"/>
      <c r="AH125" s="27" t="n"/>
      <c r="AI125" s="27" t="n"/>
      <c r="AJ125" s="27" t="n"/>
      <c r="AK125" s="27" t="n"/>
      <c r="AL125" s="27" t="n"/>
      <c r="AM125" s="27" t="n"/>
      <c r="AN125" s="27" t="n"/>
      <c r="AO125" s="27" t="n"/>
      <c r="AP125" s="27" t="n"/>
      <c r="AQ125" s="27" t="n"/>
      <c r="AR125" s="27" t="n"/>
      <c r="AS125" s="27" t="n"/>
      <c r="AT125" s="27" t="n"/>
      <c r="AU125" s="27" t="n"/>
      <c r="AV125" s="27" t="n"/>
      <c r="AW125" s="27" t="n"/>
      <c r="AX125" s="27" t="n"/>
      <c r="AY125" s="27" t="n"/>
      <c r="AZ125" s="27" t="n"/>
      <c r="BA125" s="27" t="n"/>
      <c r="BB125" s="27" t="n"/>
      <c r="BC125" s="27" t="n"/>
      <c r="BD125" s="27" t="n"/>
      <c r="BE125" s="27" t="n"/>
      <c r="BF125" s="27" t="n"/>
      <c r="BG125" s="27" t="n"/>
      <c r="BH125" s="27" t="n"/>
      <c r="BI125" s="27" t="n"/>
      <c r="BJ125" s="27" t="n"/>
      <c r="BK125" s="27" t="n"/>
      <c r="BL125" s="27" t="n"/>
      <c r="BM125" s="27" t="n"/>
      <c r="BN125" s="27" t="n"/>
      <c r="BO125" s="27" t="n"/>
      <c r="BP125" s="27" t="n"/>
      <c r="BQ125" s="27" t="n"/>
      <c r="BR125" s="27" t="n"/>
      <c r="BS125" s="27" t="n"/>
      <c r="BT125" s="27" t="n"/>
      <c r="BU125" s="27" t="n"/>
      <c r="BV125" s="27" t="n"/>
      <c r="BW125" s="27" t="n"/>
      <c r="BX125" s="27" t="n"/>
      <c r="BY125" s="27" t="n"/>
      <c r="BZ125" s="27" t="n"/>
      <c r="CA125" s="27" t="n"/>
      <c r="CB125" s="27" t="n"/>
      <c r="CC125" s="27" t="n"/>
      <c r="CD125" s="27" t="n"/>
      <c r="CE125" s="27" t="n"/>
      <c r="CF125" s="27" t="n"/>
      <c r="CG125" s="27" t="n"/>
      <c r="CH125" s="27" t="n"/>
      <c r="CI125" s="27" t="n"/>
      <c r="CJ125" s="27" t="n"/>
      <c r="CK125" s="27" t="n"/>
      <c r="CL125" s="27" t="n"/>
      <c r="CM125" s="27" t="n"/>
      <c r="CN125" s="27" t="n"/>
      <c r="CO125" s="27" t="n"/>
      <c r="CP125" s="27" t="n"/>
      <c r="CQ125" s="27" t="n"/>
      <c r="CR125" s="27" t="n"/>
      <c r="CS125" s="27" t="n"/>
      <c r="CT125" s="27" t="n"/>
      <c r="CU125" s="27" t="n"/>
      <c r="CV125" s="27" t="n"/>
      <c r="CW125" s="27" t="n"/>
      <c r="CX125" s="27" t="n"/>
      <c r="CY125" s="27" t="n"/>
      <c r="CZ125" s="27" t="n"/>
      <c r="DA125" s="27" t="n"/>
      <c r="DB125" s="27" t="n"/>
      <c r="DC125" s="27" t="n"/>
      <c r="DD125" s="27" t="n"/>
      <c r="DE125" s="27" t="n"/>
      <c r="DF125" s="27" t="n"/>
      <c r="DG125" s="27" t="n"/>
      <c r="DH125" s="27" t="n"/>
      <c r="DI125" s="27" t="n"/>
      <c r="DJ125" s="27" t="n"/>
      <c r="DK125" s="27" t="n"/>
      <c r="DL125" s="27" t="n"/>
      <c r="DM125" s="27" t="n"/>
      <c r="DN125" s="27" t="n"/>
      <c r="DO125" s="27" t="n"/>
      <c r="DP125" s="27" t="n"/>
      <c r="DQ125" s="27" t="n"/>
      <c r="DR125" s="27" t="n"/>
      <c r="DS125" s="27" t="n"/>
      <c r="DT125" s="27" t="n"/>
      <c r="DU125" s="27" t="n"/>
      <c r="DV125" s="27" t="n"/>
      <c r="DW125" s="27" t="n"/>
      <c r="DX125" s="27" t="n"/>
      <c r="DY125" s="27" t="n"/>
      <c r="DZ125" s="27" t="n"/>
      <c r="EA125" s="27" t="n"/>
      <c r="EB125" s="27" t="n"/>
      <c r="EC125" s="27" t="n"/>
      <c r="ED125" s="27" t="n"/>
      <c r="EE125" s="27" t="n"/>
      <c r="EF125" s="27" t="n"/>
      <c r="EG125" s="27" t="n"/>
      <c r="EH125" s="27" t="n"/>
      <c r="EI125" s="27" t="n"/>
      <c r="EJ125" s="27" t="n"/>
      <c r="EK125" s="27" t="n"/>
      <c r="EL125" s="27" t="n"/>
      <c r="EM125" s="27" t="n"/>
      <c r="EN125" s="27" t="n"/>
      <c r="EO125" s="27" t="n"/>
      <c r="EP125" s="27" t="n"/>
      <c r="EQ125" s="27" t="n"/>
      <c r="ER125" s="27" t="n"/>
      <c r="ES125" s="27" t="n"/>
      <c r="ET125" s="27" t="n"/>
      <c r="EU125" s="27" t="n"/>
      <c r="EV125" s="27" t="n"/>
      <c r="EW125" s="27" t="n"/>
      <c r="EX125" s="27" t="n"/>
      <c r="EY125" s="27" t="n"/>
      <c r="EZ125" s="27" t="n"/>
      <c r="FA125" s="27" t="n"/>
      <c r="FB125" s="27" t="n"/>
      <c r="FC125" s="27" t="n"/>
      <c r="FD125" s="27" t="n"/>
      <c r="FE125" s="27" t="n"/>
      <c r="FF125" s="27" t="n"/>
      <c r="FG125" s="27" t="n"/>
      <c r="FH125" s="27" t="n"/>
      <c r="FI125" s="27" t="n"/>
      <c r="FJ125" s="27" t="n"/>
      <c r="FK125" s="27" t="n"/>
      <c r="FL125" s="27" t="n"/>
      <c r="FM125" s="27" t="n"/>
      <c r="FN125" s="27" t="n"/>
      <c r="FO125" s="27" t="n"/>
      <c r="FP125" s="27" t="n"/>
      <c r="FQ125" s="27" t="n"/>
      <c r="FR125" s="27" t="n"/>
      <c r="FS125" s="27" t="n"/>
      <c r="FT125" s="27" t="n"/>
      <c r="FU125" s="27" t="n"/>
      <c r="FV125" s="27" t="n"/>
      <c r="FW125" s="27" t="n"/>
      <c r="FX125" s="27" t="n"/>
      <c r="FY125" s="27" t="n"/>
      <c r="FZ125" s="27" t="n"/>
      <c r="GA125" s="27" t="n"/>
      <c r="GB125" s="27" t="n"/>
      <c r="GC125" s="27" t="n"/>
      <c r="GD125" s="27" t="n"/>
      <c r="GE125" s="27" t="n"/>
      <c r="GF125" s="27" t="n"/>
      <c r="GG125" s="27" t="n"/>
      <c r="GH125" s="27" t="n"/>
      <c r="GI125" s="27" t="n"/>
      <c r="GJ125" s="27" t="n"/>
      <c r="GK125" s="27" t="n"/>
      <c r="GL125" s="27" t="n"/>
      <c r="GM125" s="27" t="n"/>
      <c r="GN125" s="27" t="n"/>
      <c r="GO125" s="27" t="n"/>
      <c r="GP125" s="27" t="n"/>
      <c r="GQ125" s="27" t="n"/>
      <c r="GR125" s="27" t="n"/>
      <c r="GS125" s="27" t="n"/>
      <c r="GT125" s="27" t="n"/>
      <c r="GU125" s="27" t="n"/>
      <c r="GV125" s="27" t="n"/>
      <c r="GW125" s="27" t="n"/>
      <c r="GX125" s="27" t="n"/>
      <c r="GY125" s="27" t="n"/>
      <c r="GZ125" s="27" t="n"/>
      <c r="HA125" s="27" t="n"/>
      <c r="HB125" s="27" t="n"/>
      <c r="HC125" s="27" t="n"/>
      <c r="HD125" s="27" t="n"/>
      <c r="HE125" s="27" t="n"/>
      <c r="HF125" s="27" t="n"/>
      <c r="HG125" s="27" t="n"/>
      <c r="HH125" s="27" t="n"/>
      <c r="HI125" s="27" t="n"/>
      <c r="HJ125" s="27" t="n"/>
      <c r="HK125" s="27" t="n"/>
      <c r="HL125" s="27" t="n"/>
      <c r="HM125" s="27" t="n"/>
      <c r="HN125" s="27" t="n"/>
      <c r="HO125" s="27" t="n"/>
      <c r="HP125" s="27" t="n"/>
      <c r="HQ125" s="27" t="n"/>
      <c r="HR125" s="27" t="n"/>
      <c r="HS125" s="27" t="n"/>
      <c r="HT125" s="27" t="n"/>
      <c r="HU125" s="27" t="n"/>
      <c r="HV125" s="27" t="n"/>
      <c r="HW125" s="27" t="n"/>
      <c r="HX125" s="27" t="n"/>
      <c r="HY125" s="27" t="n"/>
      <c r="HZ125" s="27" t="n"/>
      <c r="IA125" s="27" t="n"/>
      <c r="IB125" s="27" t="n"/>
      <c r="IC125" s="27" t="n"/>
      <c r="ID125" s="27" t="n"/>
      <c r="IE125" s="27" t="n"/>
      <c r="IF125" s="27" t="n"/>
      <c r="IG125" s="27" t="n"/>
      <c r="IH125" s="27" t="n"/>
      <c r="II125" s="27" t="n"/>
      <c r="IJ125" s="27" t="n"/>
      <c r="IK125" s="27" t="n"/>
      <c r="IL125" s="27" t="n"/>
      <c r="IM125" s="27" t="n"/>
      <c r="IN125" s="27" t="n"/>
      <c r="IO125" s="27" t="n"/>
      <c r="IP125" s="27" t="n"/>
      <c r="IQ125" s="27" t="n"/>
      <c r="IR125" s="27" t="n"/>
      <c r="IS125" s="27" t="n"/>
      <c r="IT125" s="27" t="n"/>
      <c r="IU125" s="27" t="n"/>
      <c r="IV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  <c r="BU126" s="27" t="n"/>
      <c r="BV126" s="27" t="n"/>
      <c r="BW126" s="27" t="n"/>
      <c r="BX126" s="27" t="n"/>
      <c r="BY126" s="27" t="n"/>
      <c r="BZ126" s="27" t="n"/>
      <c r="CA126" s="27" t="n"/>
      <c r="CB126" s="27" t="n"/>
      <c r="CC126" s="27" t="n"/>
      <c r="CD126" s="27" t="n"/>
      <c r="CE126" s="27" t="n"/>
      <c r="CF126" s="27" t="n"/>
      <c r="CG126" s="27" t="n"/>
      <c r="CH126" s="27" t="n"/>
      <c r="CI126" s="27" t="n"/>
      <c r="CJ126" s="27" t="n"/>
      <c r="CK126" s="27" t="n"/>
      <c r="CL126" s="27" t="n"/>
      <c r="CM126" s="27" t="n"/>
      <c r="CN126" s="27" t="n"/>
      <c r="CO126" s="27" t="n"/>
      <c r="CP126" s="27" t="n"/>
      <c r="CQ126" s="27" t="n"/>
      <c r="CR126" s="27" t="n"/>
      <c r="CS126" s="27" t="n"/>
      <c r="CT126" s="27" t="n"/>
      <c r="CU126" s="27" t="n"/>
      <c r="CV126" s="27" t="n"/>
      <c r="CW126" s="27" t="n"/>
      <c r="CX126" s="27" t="n"/>
      <c r="CY126" s="27" t="n"/>
      <c r="CZ126" s="27" t="n"/>
      <c r="DA126" s="27" t="n"/>
      <c r="DB126" s="27" t="n"/>
      <c r="DC126" s="27" t="n"/>
      <c r="DD126" s="27" t="n"/>
      <c r="DE126" s="27" t="n"/>
      <c r="DF126" s="27" t="n"/>
      <c r="DG126" s="27" t="n"/>
      <c r="DH126" s="27" t="n"/>
      <c r="DI126" s="27" t="n"/>
      <c r="DJ126" s="27" t="n"/>
      <c r="DK126" s="27" t="n"/>
      <c r="DL126" s="27" t="n"/>
      <c r="DM126" s="27" t="n"/>
      <c r="DN126" s="27" t="n"/>
      <c r="DO126" s="27" t="n"/>
      <c r="DP126" s="27" t="n"/>
      <c r="DQ126" s="27" t="n"/>
      <c r="DR126" s="27" t="n"/>
      <c r="DS126" s="27" t="n"/>
      <c r="DT126" s="27" t="n"/>
      <c r="DU126" s="27" t="n"/>
      <c r="DV126" s="27" t="n"/>
      <c r="DW126" s="27" t="n"/>
      <c r="DX126" s="27" t="n"/>
      <c r="DY126" s="27" t="n"/>
      <c r="DZ126" s="27" t="n"/>
      <c r="EA126" s="27" t="n"/>
      <c r="EB126" s="27" t="n"/>
      <c r="EC126" s="27" t="n"/>
      <c r="ED126" s="27" t="n"/>
      <c r="EE126" s="27" t="n"/>
      <c r="EF126" s="27" t="n"/>
      <c r="EG126" s="27" t="n"/>
      <c r="EH126" s="27" t="n"/>
      <c r="EI126" s="27" t="n"/>
      <c r="EJ126" s="27" t="n"/>
      <c r="EK126" s="27" t="n"/>
      <c r="EL126" s="27" t="n"/>
      <c r="EM126" s="27" t="n"/>
      <c r="EN126" s="27" t="n"/>
      <c r="EO126" s="27" t="n"/>
      <c r="EP126" s="27" t="n"/>
      <c r="EQ126" s="27" t="n"/>
      <c r="ER126" s="27" t="n"/>
      <c r="ES126" s="27" t="n"/>
      <c r="ET126" s="27" t="n"/>
      <c r="EU126" s="27" t="n"/>
      <c r="EV126" s="27" t="n"/>
      <c r="EW126" s="27" t="n"/>
      <c r="EX126" s="27" t="n"/>
      <c r="EY126" s="27" t="n"/>
      <c r="EZ126" s="27" t="n"/>
      <c r="FA126" s="27" t="n"/>
      <c r="FB126" s="27" t="n"/>
      <c r="FC126" s="27" t="n"/>
      <c r="FD126" s="27" t="n"/>
      <c r="FE126" s="27" t="n"/>
      <c r="FF126" s="27" t="n"/>
      <c r="FG126" s="27" t="n"/>
      <c r="FH126" s="27" t="n"/>
      <c r="FI126" s="27" t="n"/>
      <c r="FJ126" s="27" t="n"/>
      <c r="FK126" s="27" t="n"/>
      <c r="FL126" s="27" t="n"/>
      <c r="FM126" s="27" t="n"/>
      <c r="FN126" s="27" t="n"/>
      <c r="FO126" s="27" t="n"/>
      <c r="FP126" s="27" t="n"/>
      <c r="FQ126" s="27" t="n"/>
      <c r="FR126" s="27" t="n"/>
      <c r="FS126" s="27" t="n"/>
      <c r="FT126" s="27" t="n"/>
      <c r="FU126" s="27" t="n"/>
      <c r="FV126" s="27" t="n"/>
      <c r="FW126" s="27" t="n"/>
      <c r="FX126" s="27" t="n"/>
      <c r="FY126" s="27" t="n"/>
      <c r="FZ126" s="27" t="n"/>
      <c r="GA126" s="27" t="n"/>
      <c r="GB126" s="27" t="n"/>
      <c r="GC126" s="27" t="n"/>
      <c r="GD126" s="27" t="n"/>
      <c r="GE126" s="27" t="n"/>
      <c r="GF126" s="27" t="n"/>
      <c r="GG126" s="27" t="n"/>
      <c r="GH126" s="27" t="n"/>
      <c r="GI126" s="27" t="n"/>
      <c r="GJ126" s="27" t="n"/>
      <c r="GK126" s="27" t="n"/>
      <c r="GL126" s="27" t="n"/>
      <c r="GM126" s="27" t="n"/>
      <c r="GN126" s="27" t="n"/>
      <c r="GO126" s="27" t="n"/>
      <c r="GP126" s="27" t="n"/>
      <c r="GQ126" s="27" t="n"/>
      <c r="GR126" s="27" t="n"/>
      <c r="GS126" s="27" t="n"/>
      <c r="GT126" s="27" t="n"/>
      <c r="GU126" s="27" t="n"/>
      <c r="GV126" s="27" t="n"/>
      <c r="GW126" s="27" t="n"/>
      <c r="GX126" s="27" t="n"/>
      <c r="GY126" s="27" t="n"/>
      <c r="GZ126" s="27" t="n"/>
      <c r="HA126" s="27" t="n"/>
      <c r="HB126" s="27" t="n"/>
      <c r="HC126" s="27" t="n"/>
      <c r="HD126" s="27" t="n"/>
      <c r="HE126" s="27" t="n"/>
      <c r="HF126" s="27" t="n"/>
      <c r="HG126" s="27" t="n"/>
      <c r="HH126" s="27" t="n"/>
      <c r="HI126" s="27" t="n"/>
      <c r="HJ126" s="27" t="n"/>
      <c r="HK126" s="27" t="n"/>
      <c r="HL126" s="27" t="n"/>
      <c r="HM126" s="27" t="n"/>
      <c r="HN126" s="27" t="n"/>
      <c r="HO126" s="27" t="n"/>
      <c r="HP126" s="27" t="n"/>
      <c r="HQ126" s="27" t="n"/>
      <c r="HR126" s="27" t="n"/>
      <c r="HS126" s="27" t="n"/>
      <c r="HT126" s="27" t="n"/>
      <c r="HU126" s="27" t="n"/>
      <c r="HV126" s="27" t="n"/>
      <c r="HW126" s="27" t="n"/>
      <c r="HX126" s="27" t="n"/>
      <c r="HY126" s="27" t="n"/>
      <c r="HZ126" s="27" t="n"/>
      <c r="IA126" s="27" t="n"/>
      <c r="IB126" s="27" t="n"/>
      <c r="IC126" s="27" t="n"/>
      <c r="ID126" s="27" t="n"/>
      <c r="IE126" s="27" t="n"/>
      <c r="IF126" s="27" t="n"/>
      <c r="IG126" s="27" t="n"/>
      <c r="IH126" s="27" t="n"/>
      <c r="II126" s="27" t="n"/>
      <c r="IJ126" s="27" t="n"/>
      <c r="IK126" s="27" t="n"/>
      <c r="IL126" s="27" t="n"/>
      <c r="IM126" s="27" t="n"/>
      <c r="IN126" s="27" t="n"/>
      <c r="IO126" s="27" t="n"/>
      <c r="IP126" s="27" t="n"/>
      <c r="IQ126" s="27" t="n"/>
      <c r="IR126" s="27" t="n"/>
      <c r="IS126" s="27" t="n"/>
      <c r="IT126" s="27" t="n"/>
      <c r="IU126" s="27" t="n"/>
      <c r="IV126" s="27" t="n"/>
    </row>
    <row r="127" ht="13" customHeight="1" s="195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  <c r="AA127" s="27" t="n"/>
      <c r="AB127" s="27" t="n"/>
      <c r="AC127" s="27" t="n"/>
      <c r="AD127" s="27" t="n"/>
      <c r="AE127" s="27" t="n"/>
      <c r="AF127" s="27" t="n"/>
      <c r="AG127" s="27" t="n"/>
      <c r="AH127" s="27" t="n"/>
      <c r="AI127" s="27" t="n"/>
      <c r="AJ127" s="27" t="n"/>
      <c r="AK127" s="27" t="n"/>
      <c r="AL127" s="27" t="n"/>
      <c r="AM127" s="27" t="n"/>
      <c r="AN127" s="27" t="n"/>
      <c r="AO127" s="27" t="n"/>
      <c r="AP127" s="27" t="n"/>
      <c r="AQ127" s="27" t="n"/>
      <c r="AR127" s="27" t="n"/>
      <c r="AS127" s="27" t="n"/>
      <c r="AT127" s="27" t="n"/>
      <c r="AU127" s="27" t="n"/>
      <c r="AV127" s="27" t="n"/>
      <c r="AW127" s="27" t="n"/>
      <c r="AX127" s="27" t="n"/>
      <c r="AY127" s="27" t="n"/>
      <c r="AZ127" s="27" t="n"/>
      <c r="BA127" s="27" t="n"/>
      <c r="BB127" s="27" t="n"/>
      <c r="BC127" s="27" t="n"/>
      <c r="BD127" s="27" t="n"/>
      <c r="BE127" s="27" t="n"/>
      <c r="BF127" s="27" t="n"/>
      <c r="BG127" s="27" t="n"/>
      <c r="BH127" s="27" t="n"/>
      <c r="BI127" s="27" t="n"/>
      <c r="BJ127" s="27" t="n"/>
      <c r="BK127" s="27" t="n"/>
      <c r="BL127" s="27" t="n"/>
      <c r="BM127" s="27" t="n"/>
      <c r="BN127" s="27" t="n"/>
      <c r="BO127" s="27" t="n"/>
      <c r="BP127" s="27" t="n"/>
      <c r="BQ127" s="27" t="n"/>
      <c r="BR127" s="27" t="n"/>
      <c r="BS127" s="27" t="n"/>
      <c r="BT127" s="27" t="n"/>
      <c r="BU127" s="27" t="n"/>
      <c r="BV127" s="27" t="n"/>
      <c r="BW127" s="27" t="n"/>
      <c r="BX127" s="27" t="n"/>
      <c r="BY127" s="27" t="n"/>
      <c r="BZ127" s="27" t="n"/>
      <c r="CA127" s="27" t="n"/>
      <c r="CB127" s="27" t="n"/>
      <c r="CC127" s="27" t="n"/>
      <c r="CD127" s="27" t="n"/>
      <c r="CE127" s="27" t="n"/>
      <c r="CF127" s="27" t="n"/>
      <c r="CG127" s="27" t="n"/>
      <c r="CH127" s="27" t="n"/>
      <c r="CI127" s="27" t="n"/>
      <c r="CJ127" s="27" t="n"/>
      <c r="CK127" s="27" t="n"/>
      <c r="CL127" s="27" t="n"/>
      <c r="CM127" s="27" t="n"/>
      <c r="CN127" s="27" t="n"/>
      <c r="CO127" s="27" t="n"/>
      <c r="CP127" s="27" t="n"/>
      <c r="CQ127" s="27" t="n"/>
      <c r="CR127" s="27" t="n"/>
      <c r="CS127" s="27" t="n"/>
      <c r="CT127" s="27" t="n"/>
      <c r="CU127" s="27" t="n"/>
      <c r="CV127" s="27" t="n"/>
      <c r="CW127" s="27" t="n"/>
      <c r="CX127" s="27" t="n"/>
      <c r="CY127" s="27" t="n"/>
      <c r="CZ127" s="27" t="n"/>
      <c r="DA127" s="27" t="n"/>
      <c r="DB127" s="27" t="n"/>
      <c r="DC127" s="27" t="n"/>
      <c r="DD127" s="27" t="n"/>
      <c r="DE127" s="27" t="n"/>
      <c r="DF127" s="27" t="n"/>
      <c r="DG127" s="27" t="n"/>
      <c r="DH127" s="27" t="n"/>
      <c r="DI127" s="27" t="n"/>
      <c r="DJ127" s="27" t="n"/>
      <c r="DK127" s="27" t="n"/>
      <c r="DL127" s="27" t="n"/>
      <c r="DM127" s="27" t="n"/>
      <c r="DN127" s="27" t="n"/>
      <c r="DO127" s="27" t="n"/>
      <c r="DP127" s="27" t="n"/>
      <c r="DQ127" s="27" t="n"/>
      <c r="DR127" s="27" t="n"/>
      <c r="DS127" s="27" t="n"/>
      <c r="DT127" s="27" t="n"/>
      <c r="DU127" s="27" t="n"/>
      <c r="DV127" s="27" t="n"/>
      <c r="DW127" s="27" t="n"/>
      <c r="DX127" s="27" t="n"/>
      <c r="DY127" s="27" t="n"/>
      <c r="DZ127" s="27" t="n"/>
      <c r="EA127" s="27" t="n"/>
      <c r="EB127" s="27" t="n"/>
      <c r="EC127" s="27" t="n"/>
      <c r="ED127" s="27" t="n"/>
      <c r="EE127" s="27" t="n"/>
      <c r="EF127" s="27" t="n"/>
      <c r="EG127" s="27" t="n"/>
      <c r="EH127" s="27" t="n"/>
      <c r="EI127" s="27" t="n"/>
      <c r="EJ127" s="27" t="n"/>
      <c r="EK127" s="27" t="n"/>
      <c r="EL127" s="27" t="n"/>
      <c r="EM127" s="27" t="n"/>
      <c r="EN127" s="27" t="n"/>
      <c r="EO127" s="27" t="n"/>
      <c r="EP127" s="27" t="n"/>
      <c r="EQ127" s="27" t="n"/>
      <c r="ER127" s="27" t="n"/>
      <c r="ES127" s="27" t="n"/>
      <c r="ET127" s="27" t="n"/>
      <c r="EU127" s="27" t="n"/>
      <c r="EV127" s="27" t="n"/>
      <c r="EW127" s="27" t="n"/>
      <c r="EX127" s="27" t="n"/>
      <c r="EY127" s="27" t="n"/>
      <c r="EZ127" s="27" t="n"/>
      <c r="FA127" s="27" t="n"/>
      <c r="FB127" s="27" t="n"/>
      <c r="FC127" s="27" t="n"/>
      <c r="FD127" s="27" t="n"/>
      <c r="FE127" s="27" t="n"/>
      <c r="FF127" s="27" t="n"/>
      <c r="FG127" s="27" t="n"/>
      <c r="FH127" s="27" t="n"/>
      <c r="FI127" s="27" t="n"/>
      <c r="FJ127" s="27" t="n"/>
      <c r="FK127" s="27" t="n"/>
      <c r="FL127" s="27" t="n"/>
      <c r="FM127" s="27" t="n"/>
      <c r="FN127" s="27" t="n"/>
      <c r="FO127" s="27" t="n"/>
      <c r="FP127" s="27" t="n"/>
      <c r="FQ127" s="27" t="n"/>
      <c r="FR127" s="27" t="n"/>
      <c r="FS127" s="27" t="n"/>
      <c r="FT127" s="27" t="n"/>
      <c r="FU127" s="27" t="n"/>
      <c r="FV127" s="27" t="n"/>
      <c r="FW127" s="27" t="n"/>
      <c r="FX127" s="27" t="n"/>
      <c r="FY127" s="27" t="n"/>
      <c r="FZ127" s="27" t="n"/>
      <c r="GA127" s="27" t="n"/>
      <c r="GB127" s="27" t="n"/>
      <c r="GC127" s="27" t="n"/>
      <c r="GD127" s="27" t="n"/>
      <c r="GE127" s="27" t="n"/>
      <c r="GF127" s="27" t="n"/>
      <c r="GG127" s="27" t="n"/>
      <c r="GH127" s="27" t="n"/>
      <c r="GI127" s="27" t="n"/>
      <c r="GJ127" s="27" t="n"/>
      <c r="GK127" s="27" t="n"/>
      <c r="GL127" s="27" t="n"/>
      <c r="GM127" s="27" t="n"/>
      <c r="GN127" s="27" t="n"/>
      <c r="GO127" s="27" t="n"/>
      <c r="GP127" s="27" t="n"/>
      <c r="GQ127" s="27" t="n"/>
      <c r="GR127" s="27" t="n"/>
      <c r="GS127" s="27" t="n"/>
      <c r="GT127" s="27" t="n"/>
      <c r="GU127" s="27" t="n"/>
      <c r="GV127" s="27" t="n"/>
      <c r="GW127" s="27" t="n"/>
      <c r="GX127" s="27" t="n"/>
      <c r="GY127" s="27" t="n"/>
      <c r="GZ127" s="27" t="n"/>
      <c r="HA127" s="27" t="n"/>
      <c r="HB127" s="27" t="n"/>
      <c r="HC127" s="27" t="n"/>
      <c r="HD127" s="27" t="n"/>
      <c r="HE127" s="27" t="n"/>
      <c r="HF127" s="27" t="n"/>
      <c r="HG127" s="27" t="n"/>
      <c r="HH127" s="27" t="n"/>
      <c r="HI127" s="27" t="n"/>
      <c r="HJ127" s="27" t="n"/>
      <c r="HK127" s="27" t="n"/>
      <c r="HL127" s="27" t="n"/>
      <c r="HM127" s="27" t="n"/>
      <c r="HN127" s="27" t="n"/>
      <c r="HO127" s="27" t="n"/>
      <c r="HP127" s="27" t="n"/>
      <c r="HQ127" s="27" t="n"/>
      <c r="HR127" s="27" t="n"/>
      <c r="HS127" s="27" t="n"/>
      <c r="HT127" s="27" t="n"/>
      <c r="HU127" s="27" t="n"/>
      <c r="HV127" s="27" t="n"/>
      <c r="HW127" s="27" t="n"/>
      <c r="HX127" s="27" t="n"/>
      <c r="HY127" s="27" t="n"/>
      <c r="HZ127" s="27" t="n"/>
      <c r="IA127" s="27" t="n"/>
      <c r="IB127" s="27" t="n"/>
      <c r="IC127" s="27" t="n"/>
      <c r="ID127" s="27" t="n"/>
      <c r="IE127" s="27" t="n"/>
      <c r="IF127" s="27" t="n"/>
      <c r="IG127" s="27" t="n"/>
      <c r="IH127" s="27" t="n"/>
      <c r="II127" s="27" t="n"/>
      <c r="IJ127" s="27" t="n"/>
      <c r="IK127" s="27" t="n"/>
      <c r="IL127" s="27" t="n"/>
      <c r="IM127" s="27" t="n"/>
      <c r="IN127" s="27" t="n"/>
      <c r="IO127" s="27" t="n"/>
      <c r="IP127" s="27" t="n"/>
      <c r="IQ127" s="27" t="n"/>
      <c r="IR127" s="27" t="n"/>
      <c r="IS127" s="27" t="n"/>
      <c r="IT127" s="27" t="n"/>
      <c r="IU127" s="27" t="n"/>
      <c r="IV127" s="27" t="n"/>
    </row>
    <row r="128" ht="13" customHeight="1" s="195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  <c r="AA128" s="27" t="n"/>
      <c r="AB128" s="27" t="n"/>
      <c r="AC128" s="27" t="n"/>
      <c r="AD128" s="27" t="n"/>
      <c r="AE128" s="27" t="n"/>
      <c r="AF128" s="27" t="n"/>
      <c r="AG128" s="27" t="n"/>
      <c r="AH128" s="27" t="n"/>
      <c r="AI128" s="27" t="n"/>
      <c r="AJ128" s="27" t="n"/>
      <c r="AK128" s="27" t="n"/>
      <c r="AL128" s="27" t="n"/>
      <c r="AM128" s="27" t="n"/>
      <c r="AN128" s="27" t="n"/>
      <c r="AO128" s="27" t="n"/>
      <c r="AP128" s="27" t="n"/>
      <c r="AQ128" s="27" t="n"/>
      <c r="AR128" s="27" t="n"/>
      <c r="AS128" s="27" t="n"/>
      <c r="AT128" s="27" t="n"/>
      <c r="AU128" s="27" t="n"/>
      <c r="AV128" s="27" t="n"/>
      <c r="AW128" s="27" t="n"/>
      <c r="AX128" s="27" t="n"/>
      <c r="AY128" s="27" t="n"/>
      <c r="AZ128" s="27" t="n"/>
      <c r="BA128" s="27" t="n"/>
      <c r="BB128" s="27" t="n"/>
      <c r="BC128" s="27" t="n"/>
      <c r="BD128" s="27" t="n"/>
      <c r="BE128" s="27" t="n"/>
      <c r="BF128" s="27" t="n"/>
      <c r="BG128" s="27" t="n"/>
      <c r="BH128" s="27" t="n"/>
      <c r="BI128" s="27" t="n"/>
      <c r="BJ128" s="27" t="n"/>
      <c r="BK128" s="27" t="n"/>
      <c r="BL128" s="27" t="n"/>
      <c r="BM128" s="27" t="n"/>
      <c r="BN128" s="27" t="n"/>
      <c r="BO128" s="27" t="n"/>
      <c r="BP128" s="27" t="n"/>
      <c r="BQ128" s="27" t="n"/>
      <c r="BR128" s="27" t="n"/>
      <c r="BS128" s="27" t="n"/>
      <c r="BT128" s="27" t="n"/>
      <c r="BU128" s="27" t="n"/>
      <c r="BV128" s="27" t="n"/>
      <c r="BW128" s="27" t="n"/>
      <c r="BX128" s="27" t="n"/>
      <c r="BY128" s="27" t="n"/>
      <c r="BZ128" s="27" t="n"/>
      <c r="CA128" s="27" t="n"/>
      <c r="CB128" s="27" t="n"/>
      <c r="CC128" s="27" t="n"/>
      <c r="CD128" s="27" t="n"/>
      <c r="CE128" s="27" t="n"/>
      <c r="CF128" s="27" t="n"/>
      <c r="CG128" s="27" t="n"/>
      <c r="CH128" s="27" t="n"/>
      <c r="CI128" s="27" t="n"/>
      <c r="CJ128" s="27" t="n"/>
      <c r="CK128" s="27" t="n"/>
      <c r="CL128" s="27" t="n"/>
      <c r="CM128" s="27" t="n"/>
      <c r="CN128" s="27" t="n"/>
      <c r="CO128" s="27" t="n"/>
      <c r="CP128" s="27" t="n"/>
      <c r="CQ128" s="27" t="n"/>
      <c r="CR128" s="27" t="n"/>
      <c r="CS128" s="27" t="n"/>
      <c r="CT128" s="27" t="n"/>
      <c r="CU128" s="27" t="n"/>
      <c r="CV128" s="27" t="n"/>
      <c r="CW128" s="27" t="n"/>
      <c r="CX128" s="27" t="n"/>
      <c r="CY128" s="27" t="n"/>
      <c r="CZ128" s="27" t="n"/>
      <c r="DA128" s="27" t="n"/>
      <c r="DB128" s="27" t="n"/>
      <c r="DC128" s="27" t="n"/>
      <c r="DD128" s="27" t="n"/>
      <c r="DE128" s="27" t="n"/>
      <c r="DF128" s="27" t="n"/>
      <c r="DG128" s="27" t="n"/>
      <c r="DH128" s="27" t="n"/>
      <c r="DI128" s="27" t="n"/>
      <c r="DJ128" s="27" t="n"/>
      <c r="DK128" s="27" t="n"/>
      <c r="DL128" s="27" t="n"/>
      <c r="DM128" s="27" t="n"/>
      <c r="DN128" s="27" t="n"/>
      <c r="DO128" s="27" t="n"/>
      <c r="DP128" s="27" t="n"/>
      <c r="DQ128" s="27" t="n"/>
      <c r="DR128" s="27" t="n"/>
      <c r="DS128" s="27" t="n"/>
      <c r="DT128" s="27" t="n"/>
      <c r="DU128" s="27" t="n"/>
      <c r="DV128" s="27" t="n"/>
      <c r="DW128" s="27" t="n"/>
      <c r="DX128" s="27" t="n"/>
      <c r="DY128" s="27" t="n"/>
      <c r="DZ128" s="27" t="n"/>
      <c r="EA128" s="27" t="n"/>
      <c r="EB128" s="27" t="n"/>
      <c r="EC128" s="27" t="n"/>
      <c r="ED128" s="27" t="n"/>
      <c r="EE128" s="27" t="n"/>
      <c r="EF128" s="27" t="n"/>
      <c r="EG128" s="27" t="n"/>
      <c r="EH128" s="27" t="n"/>
      <c r="EI128" s="27" t="n"/>
      <c r="EJ128" s="27" t="n"/>
      <c r="EK128" s="27" t="n"/>
      <c r="EL128" s="27" t="n"/>
      <c r="EM128" s="27" t="n"/>
      <c r="EN128" s="27" t="n"/>
      <c r="EO128" s="27" t="n"/>
      <c r="EP128" s="27" t="n"/>
      <c r="EQ128" s="27" t="n"/>
      <c r="ER128" s="27" t="n"/>
      <c r="ES128" s="27" t="n"/>
      <c r="ET128" s="27" t="n"/>
      <c r="EU128" s="27" t="n"/>
      <c r="EV128" s="27" t="n"/>
      <c r="EW128" s="27" t="n"/>
      <c r="EX128" s="27" t="n"/>
      <c r="EY128" s="27" t="n"/>
      <c r="EZ128" s="27" t="n"/>
      <c r="FA128" s="27" t="n"/>
      <c r="FB128" s="27" t="n"/>
      <c r="FC128" s="27" t="n"/>
      <c r="FD128" s="27" t="n"/>
      <c r="FE128" s="27" t="n"/>
      <c r="FF128" s="27" t="n"/>
      <c r="FG128" s="27" t="n"/>
      <c r="FH128" s="27" t="n"/>
      <c r="FI128" s="27" t="n"/>
      <c r="FJ128" s="27" t="n"/>
      <c r="FK128" s="27" t="n"/>
      <c r="FL128" s="27" t="n"/>
      <c r="FM128" s="27" t="n"/>
      <c r="FN128" s="27" t="n"/>
      <c r="FO128" s="27" t="n"/>
      <c r="FP128" s="27" t="n"/>
      <c r="FQ128" s="27" t="n"/>
      <c r="FR128" s="27" t="n"/>
      <c r="FS128" s="27" t="n"/>
      <c r="FT128" s="27" t="n"/>
      <c r="FU128" s="27" t="n"/>
      <c r="FV128" s="27" t="n"/>
      <c r="FW128" s="27" t="n"/>
      <c r="FX128" s="27" t="n"/>
      <c r="FY128" s="27" t="n"/>
      <c r="FZ128" s="27" t="n"/>
      <c r="GA128" s="27" t="n"/>
      <c r="GB128" s="27" t="n"/>
      <c r="GC128" s="27" t="n"/>
      <c r="GD128" s="27" t="n"/>
      <c r="GE128" s="27" t="n"/>
      <c r="GF128" s="27" t="n"/>
      <c r="GG128" s="27" t="n"/>
      <c r="GH128" s="27" t="n"/>
      <c r="GI128" s="27" t="n"/>
      <c r="GJ128" s="27" t="n"/>
      <c r="GK128" s="27" t="n"/>
      <c r="GL128" s="27" t="n"/>
      <c r="GM128" s="27" t="n"/>
      <c r="GN128" s="27" t="n"/>
      <c r="GO128" s="27" t="n"/>
      <c r="GP128" s="27" t="n"/>
      <c r="GQ128" s="27" t="n"/>
      <c r="GR128" s="27" t="n"/>
      <c r="GS128" s="27" t="n"/>
      <c r="GT128" s="27" t="n"/>
      <c r="GU128" s="27" t="n"/>
      <c r="GV128" s="27" t="n"/>
      <c r="GW128" s="27" t="n"/>
      <c r="GX128" s="27" t="n"/>
      <c r="GY128" s="27" t="n"/>
      <c r="GZ128" s="27" t="n"/>
      <c r="HA128" s="27" t="n"/>
      <c r="HB128" s="27" t="n"/>
      <c r="HC128" s="27" t="n"/>
      <c r="HD128" s="27" t="n"/>
      <c r="HE128" s="27" t="n"/>
      <c r="HF128" s="27" t="n"/>
      <c r="HG128" s="27" t="n"/>
      <c r="HH128" s="27" t="n"/>
      <c r="HI128" s="27" t="n"/>
      <c r="HJ128" s="27" t="n"/>
      <c r="HK128" s="27" t="n"/>
      <c r="HL128" s="27" t="n"/>
      <c r="HM128" s="27" t="n"/>
      <c r="HN128" s="27" t="n"/>
      <c r="HO128" s="27" t="n"/>
      <c r="HP128" s="27" t="n"/>
      <c r="HQ128" s="27" t="n"/>
      <c r="HR128" s="27" t="n"/>
      <c r="HS128" s="27" t="n"/>
      <c r="HT128" s="27" t="n"/>
      <c r="HU128" s="27" t="n"/>
      <c r="HV128" s="27" t="n"/>
      <c r="HW128" s="27" t="n"/>
      <c r="HX128" s="27" t="n"/>
      <c r="HY128" s="27" t="n"/>
      <c r="HZ128" s="27" t="n"/>
      <c r="IA128" s="27" t="n"/>
      <c r="IB128" s="27" t="n"/>
      <c r="IC128" s="27" t="n"/>
      <c r="ID128" s="27" t="n"/>
      <c r="IE128" s="27" t="n"/>
      <c r="IF128" s="27" t="n"/>
      <c r="IG128" s="27" t="n"/>
      <c r="IH128" s="27" t="n"/>
      <c r="II128" s="27" t="n"/>
      <c r="IJ128" s="27" t="n"/>
      <c r="IK128" s="27" t="n"/>
      <c r="IL128" s="27" t="n"/>
      <c r="IM128" s="27" t="n"/>
      <c r="IN128" s="27" t="n"/>
      <c r="IO128" s="27" t="n"/>
      <c r="IP128" s="27" t="n"/>
      <c r="IQ128" s="27" t="n"/>
      <c r="IR128" s="27" t="n"/>
      <c r="IS128" s="27" t="n"/>
      <c r="IT128" s="27" t="n"/>
      <c r="IU128" s="27" t="n"/>
      <c r="IV128" s="27" t="n"/>
    </row>
    <row r="129" ht="13" customHeight="1" s="195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  <c r="AA129" s="27" t="n"/>
      <c r="AB129" s="27" t="n"/>
      <c r="AC129" s="27" t="n"/>
      <c r="AD129" s="27" t="n"/>
      <c r="AE129" s="27" t="n"/>
      <c r="AF129" s="27" t="n"/>
      <c r="AG129" s="27" t="n"/>
      <c r="AH129" s="27" t="n"/>
      <c r="AI129" s="27" t="n"/>
      <c r="AJ129" s="27" t="n"/>
      <c r="AK129" s="27" t="n"/>
      <c r="AL129" s="27" t="n"/>
      <c r="AM129" s="27" t="n"/>
      <c r="AN129" s="27" t="n"/>
      <c r="AO129" s="27" t="n"/>
      <c r="AP129" s="27" t="n"/>
      <c r="AQ129" s="27" t="n"/>
      <c r="AR129" s="27" t="n"/>
      <c r="AS129" s="27" t="n"/>
      <c r="AT129" s="27" t="n"/>
      <c r="AU129" s="27" t="n"/>
      <c r="AV129" s="27" t="n"/>
      <c r="AW129" s="27" t="n"/>
      <c r="AX129" s="27" t="n"/>
      <c r="AY129" s="27" t="n"/>
      <c r="AZ129" s="27" t="n"/>
      <c r="BA129" s="27" t="n"/>
      <c r="BB129" s="27" t="n"/>
      <c r="BC129" s="27" t="n"/>
      <c r="BD129" s="27" t="n"/>
      <c r="BE129" s="27" t="n"/>
      <c r="BF129" s="27" t="n"/>
      <c r="BG129" s="27" t="n"/>
      <c r="BH129" s="27" t="n"/>
      <c r="BI129" s="27" t="n"/>
      <c r="BJ129" s="27" t="n"/>
      <c r="BK129" s="27" t="n"/>
      <c r="BL129" s="27" t="n"/>
      <c r="BM129" s="27" t="n"/>
      <c r="BN129" s="27" t="n"/>
      <c r="BO129" s="27" t="n"/>
      <c r="BP129" s="27" t="n"/>
      <c r="BQ129" s="27" t="n"/>
      <c r="BR129" s="27" t="n"/>
      <c r="BS129" s="27" t="n"/>
      <c r="BT129" s="27" t="n"/>
      <c r="BU129" s="27" t="n"/>
      <c r="BV129" s="27" t="n"/>
      <c r="BW129" s="27" t="n"/>
      <c r="BX129" s="27" t="n"/>
      <c r="BY129" s="27" t="n"/>
      <c r="BZ129" s="27" t="n"/>
      <c r="CA129" s="27" t="n"/>
      <c r="CB129" s="27" t="n"/>
      <c r="CC129" s="27" t="n"/>
      <c r="CD129" s="27" t="n"/>
      <c r="CE129" s="27" t="n"/>
      <c r="CF129" s="27" t="n"/>
      <c r="CG129" s="27" t="n"/>
      <c r="CH129" s="27" t="n"/>
      <c r="CI129" s="27" t="n"/>
      <c r="CJ129" s="27" t="n"/>
      <c r="CK129" s="27" t="n"/>
      <c r="CL129" s="27" t="n"/>
      <c r="CM129" s="27" t="n"/>
      <c r="CN129" s="27" t="n"/>
      <c r="CO129" s="27" t="n"/>
      <c r="CP129" s="27" t="n"/>
      <c r="CQ129" s="27" t="n"/>
      <c r="CR129" s="27" t="n"/>
      <c r="CS129" s="27" t="n"/>
      <c r="CT129" s="27" t="n"/>
      <c r="CU129" s="27" t="n"/>
      <c r="CV129" s="27" t="n"/>
      <c r="CW129" s="27" t="n"/>
      <c r="CX129" s="27" t="n"/>
      <c r="CY129" s="27" t="n"/>
      <c r="CZ129" s="27" t="n"/>
      <c r="DA129" s="27" t="n"/>
      <c r="DB129" s="27" t="n"/>
      <c r="DC129" s="27" t="n"/>
      <c r="DD129" s="27" t="n"/>
      <c r="DE129" s="27" t="n"/>
      <c r="DF129" s="27" t="n"/>
      <c r="DG129" s="27" t="n"/>
      <c r="DH129" s="27" t="n"/>
      <c r="DI129" s="27" t="n"/>
      <c r="DJ129" s="27" t="n"/>
      <c r="DK129" s="27" t="n"/>
      <c r="DL129" s="27" t="n"/>
      <c r="DM129" s="27" t="n"/>
      <c r="DN129" s="27" t="n"/>
      <c r="DO129" s="27" t="n"/>
      <c r="DP129" s="27" t="n"/>
      <c r="DQ129" s="27" t="n"/>
      <c r="DR129" s="27" t="n"/>
      <c r="DS129" s="27" t="n"/>
      <c r="DT129" s="27" t="n"/>
      <c r="DU129" s="27" t="n"/>
      <c r="DV129" s="27" t="n"/>
      <c r="DW129" s="27" t="n"/>
      <c r="DX129" s="27" t="n"/>
      <c r="DY129" s="27" t="n"/>
      <c r="DZ129" s="27" t="n"/>
      <c r="EA129" s="27" t="n"/>
      <c r="EB129" s="27" t="n"/>
      <c r="EC129" s="27" t="n"/>
      <c r="ED129" s="27" t="n"/>
      <c r="EE129" s="27" t="n"/>
      <c r="EF129" s="27" t="n"/>
      <c r="EG129" s="27" t="n"/>
      <c r="EH129" s="27" t="n"/>
      <c r="EI129" s="27" t="n"/>
      <c r="EJ129" s="27" t="n"/>
      <c r="EK129" s="27" t="n"/>
      <c r="EL129" s="27" t="n"/>
      <c r="EM129" s="27" t="n"/>
      <c r="EN129" s="27" t="n"/>
      <c r="EO129" s="27" t="n"/>
      <c r="EP129" s="27" t="n"/>
      <c r="EQ129" s="27" t="n"/>
      <c r="ER129" s="27" t="n"/>
      <c r="ES129" s="27" t="n"/>
      <c r="ET129" s="27" t="n"/>
      <c r="EU129" s="27" t="n"/>
      <c r="EV129" s="27" t="n"/>
      <c r="EW129" s="27" t="n"/>
      <c r="EX129" s="27" t="n"/>
      <c r="EY129" s="27" t="n"/>
      <c r="EZ129" s="27" t="n"/>
      <c r="FA129" s="27" t="n"/>
      <c r="FB129" s="27" t="n"/>
      <c r="FC129" s="27" t="n"/>
      <c r="FD129" s="27" t="n"/>
      <c r="FE129" s="27" t="n"/>
      <c r="FF129" s="27" t="n"/>
      <c r="FG129" s="27" t="n"/>
      <c r="FH129" s="27" t="n"/>
      <c r="FI129" s="27" t="n"/>
      <c r="FJ129" s="27" t="n"/>
      <c r="FK129" s="27" t="n"/>
      <c r="FL129" s="27" t="n"/>
      <c r="FM129" s="27" t="n"/>
      <c r="FN129" s="27" t="n"/>
      <c r="FO129" s="27" t="n"/>
      <c r="FP129" s="27" t="n"/>
      <c r="FQ129" s="27" t="n"/>
      <c r="FR129" s="27" t="n"/>
      <c r="FS129" s="27" t="n"/>
      <c r="FT129" s="27" t="n"/>
      <c r="FU129" s="27" t="n"/>
      <c r="FV129" s="27" t="n"/>
      <c r="FW129" s="27" t="n"/>
      <c r="FX129" s="27" t="n"/>
      <c r="FY129" s="27" t="n"/>
      <c r="FZ129" s="27" t="n"/>
      <c r="GA129" s="27" t="n"/>
      <c r="GB129" s="27" t="n"/>
      <c r="GC129" s="27" t="n"/>
      <c r="GD129" s="27" t="n"/>
      <c r="GE129" s="27" t="n"/>
      <c r="GF129" s="27" t="n"/>
      <c r="GG129" s="27" t="n"/>
      <c r="GH129" s="27" t="n"/>
      <c r="GI129" s="27" t="n"/>
      <c r="GJ129" s="27" t="n"/>
      <c r="GK129" s="27" t="n"/>
      <c r="GL129" s="27" t="n"/>
      <c r="GM129" s="27" t="n"/>
      <c r="GN129" s="27" t="n"/>
      <c r="GO129" s="27" t="n"/>
      <c r="GP129" s="27" t="n"/>
      <c r="GQ129" s="27" t="n"/>
      <c r="GR129" s="27" t="n"/>
      <c r="GS129" s="27" t="n"/>
      <c r="GT129" s="27" t="n"/>
      <c r="GU129" s="27" t="n"/>
      <c r="GV129" s="27" t="n"/>
      <c r="GW129" s="27" t="n"/>
      <c r="GX129" s="27" t="n"/>
      <c r="GY129" s="27" t="n"/>
      <c r="GZ129" s="27" t="n"/>
      <c r="HA129" s="27" t="n"/>
      <c r="HB129" s="27" t="n"/>
      <c r="HC129" s="27" t="n"/>
      <c r="HD129" s="27" t="n"/>
      <c r="HE129" s="27" t="n"/>
      <c r="HF129" s="27" t="n"/>
      <c r="HG129" s="27" t="n"/>
      <c r="HH129" s="27" t="n"/>
      <c r="HI129" s="27" t="n"/>
      <c r="HJ129" s="27" t="n"/>
      <c r="HK129" s="27" t="n"/>
      <c r="HL129" s="27" t="n"/>
      <c r="HM129" s="27" t="n"/>
      <c r="HN129" s="27" t="n"/>
      <c r="HO129" s="27" t="n"/>
      <c r="HP129" s="27" t="n"/>
      <c r="HQ129" s="27" t="n"/>
      <c r="HR129" s="27" t="n"/>
      <c r="HS129" s="27" t="n"/>
      <c r="HT129" s="27" t="n"/>
      <c r="HU129" s="27" t="n"/>
      <c r="HV129" s="27" t="n"/>
      <c r="HW129" s="27" t="n"/>
      <c r="HX129" s="27" t="n"/>
      <c r="HY129" s="27" t="n"/>
      <c r="HZ129" s="27" t="n"/>
      <c r="IA129" s="27" t="n"/>
      <c r="IB129" s="27" t="n"/>
      <c r="IC129" s="27" t="n"/>
      <c r="ID129" s="27" t="n"/>
      <c r="IE129" s="27" t="n"/>
      <c r="IF129" s="27" t="n"/>
      <c r="IG129" s="27" t="n"/>
      <c r="IH129" s="27" t="n"/>
      <c r="II129" s="27" t="n"/>
      <c r="IJ129" s="27" t="n"/>
      <c r="IK129" s="27" t="n"/>
      <c r="IL129" s="27" t="n"/>
      <c r="IM129" s="27" t="n"/>
      <c r="IN129" s="27" t="n"/>
      <c r="IO129" s="27" t="n"/>
      <c r="IP129" s="27" t="n"/>
      <c r="IQ129" s="27" t="n"/>
      <c r="IR129" s="27" t="n"/>
      <c r="IS129" s="27" t="n"/>
      <c r="IT129" s="27" t="n"/>
      <c r="IU129" s="27" t="n"/>
      <c r="IV129" s="27" t="n"/>
    </row>
    <row r="130" ht="13" customHeight="1" s="195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  <c r="BU130" s="27" t="n"/>
      <c r="BV130" s="27" t="n"/>
      <c r="BW130" s="27" t="n"/>
      <c r="BX130" s="27" t="n"/>
      <c r="BY130" s="27" t="n"/>
      <c r="BZ130" s="27" t="n"/>
      <c r="CA130" s="27" t="n"/>
      <c r="CB130" s="27" t="n"/>
      <c r="CC130" s="27" t="n"/>
      <c r="CD130" s="27" t="n"/>
      <c r="CE130" s="27" t="n"/>
      <c r="CF130" s="27" t="n"/>
      <c r="CG130" s="27" t="n"/>
      <c r="CH130" s="27" t="n"/>
      <c r="CI130" s="27" t="n"/>
      <c r="CJ130" s="27" t="n"/>
      <c r="CK130" s="27" t="n"/>
      <c r="CL130" s="27" t="n"/>
      <c r="CM130" s="27" t="n"/>
      <c r="CN130" s="27" t="n"/>
      <c r="CO130" s="27" t="n"/>
      <c r="CP130" s="27" t="n"/>
      <c r="CQ130" s="27" t="n"/>
      <c r="CR130" s="27" t="n"/>
      <c r="CS130" s="27" t="n"/>
      <c r="CT130" s="27" t="n"/>
      <c r="CU130" s="27" t="n"/>
      <c r="CV130" s="27" t="n"/>
      <c r="CW130" s="27" t="n"/>
      <c r="CX130" s="27" t="n"/>
      <c r="CY130" s="27" t="n"/>
      <c r="CZ130" s="27" t="n"/>
      <c r="DA130" s="27" t="n"/>
      <c r="DB130" s="27" t="n"/>
      <c r="DC130" s="27" t="n"/>
      <c r="DD130" s="27" t="n"/>
      <c r="DE130" s="27" t="n"/>
      <c r="DF130" s="27" t="n"/>
      <c r="DG130" s="27" t="n"/>
      <c r="DH130" s="27" t="n"/>
      <c r="DI130" s="27" t="n"/>
      <c r="DJ130" s="27" t="n"/>
      <c r="DK130" s="27" t="n"/>
      <c r="DL130" s="27" t="n"/>
      <c r="DM130" s="27" t="n"/>
      <c r="DN130" s="27" t="n"/>
      <c r="DO130" s="27" t="n"/>
      <c r="DP130" s="27" t="n"/>
      <c r="DQ130" s="27" t="n"/>
      <c r="DR130" s="27" t="n"/>
      <c r="DS130" s="27" t="n"/>
      <c r="DT130" s="27" t="n"/>
      <c r="DU130" s="27" t="n"/>
      <c r="DV130" s="27" t="n"/>
      <c r="DW130" s="27" t="n"/>
      <c r="DX130" s="27" t="n"/>
      <c r="DY130" s="27" t="n"/>
      <c r="DZ130" s="27" t="n"/>
      <c r="EA130" s="27" t="n"/>
      <c r="EB130" s="27" t="n"/>
      <c r="EC130" s="27" t="n"/>
      <c r="ED130" s="27" t="n"/>
      <c r="EE130" s="27" t="n"/>
      <c r="EF130" s="27" t="n"/>
      <c r="EG130" s="27" t="n"/>
      <c r="EH130" s="27" t="n"/>
      <c r="EI130" s="27" t="n"/>
      <c r="EJ130" s="27" t="n"/>
      <c r="EK130" s="27" t="n"/>
      <c r="EL130" s="27" t="n"/>
      <c r="EM130" s="27" t="n"/>
      <c r="EN130" s="27" t="n"/>
      <c r="EO130" s="27" t="n"/>
      <c r="EP130" s="27" t="n"/>
      <c r="EQ130" s="27" t="n"/>
      <c r="ER130" s="27" t="n"/>
      <c r="ES130" s="27" t="n"/>
      <c r="ET130" s="27" t="n"/>
      <c r="EU130" s="27" t="n"/>
      <c r="EV130" s="27" t="n"/>
      <c r="EW130" s="27" t="n"/>
      <c r="EX130" s="27" t="n"/>
      <c r="EY130" s="27" t="n"/>
      <c r="EZ130" s="27" t="n"/>
      <c r="FA130" s="27" t="n"/>
      <c r="FB130" s="27" t="n"/>
      <c r="FC130" s="27" t="n"/>
      <c r="FD130" s="27" t="n"/>
      <c r="FE130" s="27" t="n"/>
      <c r="FF130" s="27" t="n"/>
      <c r="FG130" s="27" t="n"/>
      <c r="FH130" s="27" t="n"/>
      <c r="FI130" s="27" t="n"/>
      <c r="FJ130" s="27" t="n"/>
      <c r="FK130" s="27" t="n"/>
      <c r="FL130" s="27" t="n"/>
      <c r="FM130" s="27" t="n"/>
      <c r="FN130" s="27" t="n"/>
      <c r="FO130" s="27" t="n"/>
      <c r="FP130" s="27" t="n"/>
      <c r="FQ130" s="27" t="n"/>
      <c r="FR130" s="27" t="n"/>
      <c r="FS130" s="27" t="n"/>
      <c r="FT130" s="27" t="n"/>
      <c r="FU130" s="27" t="n"/>
      <c r="FV130" s="27" t="n"/>
      <c r="FW130" s="27" t="n"/>
      <c r="FX130" s="27" t="n"/>
      <c r="FY130" s="27" t="n"/>
      <c r="FZ130" s="27" t="n"/>
      <c r="GA130" s="27" t="n"/>
      <c r="GB130" s="27" t="n"/>
      <c r="GC130" s="27" t="n"/>
      <c r="GD130" s="27" t="n"/>
      <c r="GE130" s="27" t="n"/>
      <c r="GF130" s="27" t="n"/>
      <c r="GG130" s="27" t="n"/>
      <c r="GH130" s="27" t="n"/>
      <c r="GI130" s="27" t="n"/>
      <c r="GJ130" s="27" t="n"/>
      <c r="GK130" s="27" t="n"/>
      <c r="GL130" s="27" t="n"/>
      <c r="GM130" s="27" t="n"/>
      <c r="GN130" s="27" t="n"/>
      <c r="GO130" s="27" t="n"/>
      <c r="GP130" s="27" t="n"/>
      <c r="GQ130" s="27" t="n"/>
      <c r="GR130" s="27" t="n"/>
      <c r="GS130" s="27" t="n"/>
      <c r="GT130" s="27" t="n"/>
      <c r="GU130" s="27" t="n"/>
      <c r="GV130" s="27" t="n"/>
      <c r="GW130" s="27" t="n"/>
      <c r="GX130" s="27" t="n"/>
      <c r="GY130" s="27" t="n"/>
      <c r="GZ130" s="27" t="n"/>
      <c r="HA130" s="27" t="n"/>
      <c r="HB130" s="27" t="n"/>
      <c r="HC130" s="27" t="n"/>
      <c r="HD130" s="27" t="n"/>
      <c r="HE130" s="27" t="n"/>
      <c r="HF130" s="27" t="n"/>
      <c r="HG130" s="27" t="n"/>
      <c r="HH130" s="27" t="n"/>
      <c r="HI130" s="27" t="n"/>
      <c r="HJ130" s="27" t="n"/>
      <c r="HK130" s="27" t="n"/>
      <c r="HL130" s="27" t="n"/>
      <c r="HM130" s="27" t="n"/>
      <c r="HN130" s="27" t="n"/>
      <c r="HO130" s="27" t="n"/>
      <c r="HP130" s="27" t="n"/>
      <c r="HQ130" s="27" t="n"/>
      <c r="HR130" s="27" t="n"/>
      <c r="HS130" s="27" t="n"/>
      <c r="HT130" s="27" t="n"/>
      <c r="HU130" s="27" t="n"/>
      <c r="HV130" s="27" t="n"/>
      <c r="HW130" s="27" t="n"/>
      <c r="HX130" s="27" t="n"/>
      <c r="HY130" s="27" t="n"/>
      <c r="HZ130" s="27" t="n"/>
      <c r="IA130" s="27" t="n"/>
      <c r="IB130" s="27" t="n"/>
      <c r="IC130" s="27" t="n"/>
      <c r="ID130" s="27" t="n"/>
      <c r="IE130" s="27" t="n"/>
      <c r="IF130" s="27" t="n"/>
      <c r="IG130" s="27" t="n"/>
      <c r="IH130" s="27" t="n"/>
      <c r="II130" s="27" t="n"/>
      <c r="IJ130" s="27" t="n"/>
      <c r="IK130" s="27" t="n"/>
      <c r="IL130" s="27" t="n"/>
      <c r="IM130" s="27" t="n"/>
      <c r="IN130" s="27" t="n"/>
      <c r="IO130" s="27" t="n"/>
      <c r="IP130" s="27" t="n"/>
      <c r="IQ130" s="27" t="n"/>
      <c r="IR130" s="27" t="n"/>
      <c r="IS130" s="27" t="n"/>
      <c r="IT130" s="27" t="n"/>
      <c r="IU130" s="27" t="n"/>
      <c r="IV130" s="27" t="n"/>
    </row>
    <row r="131" ht="13" customHeight="1" s="195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  <c r="AA131" s="27" t="n"/>
      <c r="AB131" s="27" t="n"/>
      <c r="AC131" s="27" t="n"/>
      <c r="AD131" s="27" t="n"/>
      <c r="AE131" s="27" t="n"/>
      <c r="AF131" s="27" t="n"/>
      <c r="AG131" s="27" t="n"/>
      <c r="AH131" s="27" t="n"/>
      <c r="AI131" s="27" t="n"/>
      <c r="AJ131" s="27" t="n"/>
      <c r="AK131" s="27" t="n"/>
      <c r="AL131" s="27" t="n"/>
      <c r="AM131" s="27" t="n"/>
      <c r="AN131" s="27" t="n"/>
      <c r="AO131" s="27" t="n"/>
      <c r="AP131" s="27" t="n"/>
      <c r="AQ131" s="27" t="n"/>
      <c r="AR131" s="27" t="n"/>
      <c r="AS131" s="27" t="n"/>
      <c r="AT131" s="27" t="n"/>
      <c r="AU131" s="27" t="n"/>
      <c r="AV131" s="27" t="n"/>
      <c r="AW131" s="27" t="n"/>
      <c r="AX131" s="27" t="n"/>
      <c r="AY131" s="27" t="n"/>
      <c r="AZ131" s="27" t="n"/>
      <c r="BA131" s="27" t="n"/>
      <c r="BB131" s="27" t="n"/>
      <c r="BC131" s="27" t="n"/>
      <c r="BD131" s="27" t="n"/>
      <c r="BE131" s="27" t="n"/>
      <c r="BF131" s="27" t="n"/>
      <c r="BG131" s="27" t="n"/>
      <c r="BH131" s="27" t="n"/>
      <c r="BI131" s="27" t="n"/>
      <c r="BJ131" s="27" t="n"/>
      <c r="BK131" s="27" t="n"/>
      <c r="BL131" s="27" t="n"/>
      <c r="BM131" s="27" t="n"/>
      <c r="BN131" s="27" t="n"/>
      <c r="BO131" s="27" t="n"/>
      <c r="BP131" s="27" t="n"/>
      <c r="BQ131" s="27" t="n"/>
      <c r="BR131" s="27" t="n"/>
      <c r="BS131" s="27" t="n"/>
      <c r="BT131" s="27" t="n"/>
      <c r="BU131" s="27" t="n"/>
      <c r="BV131" s="27" t="n"/>
      <c r="BW131" s="27" t="n"/>
      <c r="BX131" s="27" t="n"/>
      <c r="BY131" s="27" t="n"/>
      <c r="BZ131" s="27" t="n"/>
      <c r="CA131" s="27" t="n"/>
      <c r="CB131" s="27" t="n"/>
      <c r="CC131" s="27" t="n"/>
      <c r="CD131" s="27" t="n"/>
      <c r="CE131" s="27" t="n"/>
      <c r="CF131" s="27" t="n"/>
      <c r="CG131" s="27" t="n"/>
      <c r="CH131" s="27" t="n"/>
      <c r="CI131" s="27" t="n"/>
      <c r="CJ131" s="27" t="n"/>
      <c r="CK131" s="27" t="n"/>
      <c r="CL131" s="27" t="n"/>
      <c r="CM131" s="27" t="n"/>
      <c r="CN131" s="27" t="n"/>
      <c r="CO131" s="27" t="n"/>
      <c r="CP131" s="27" t="n"/>
      <c r="CQ131" s="27" t="n"/>
      <c r="CR131" s="27" t="n"/>
      <c r="CS131" s="27" t="n"/>
      <c r="CT131" s="27" t="n"/>
      <c r="CU131" s="27" t="n"/>
      <c r="CV131" s="27" t="n"/>
      <c r="CW131" s="27" t="n"/>
      <c r="CX131" s="27" t="n"/>
      <c r="CY131" s="27" t="n"/>
      <c r="CZ131" s="27" t="n"/>
      <c r="DA131" s="27" t="n"/>
      <c r="DB131" s="27" t="n"/>
      <c r="DC131" s="27" t="n"/>
      <c r="DD131" s="27" t="n"/>
      <c r="DE131" s="27" t="n"/>
      <c r="DF131" s="27" t="n"/>
      <c r="DG131" s="27" t="n"/>
      <c r="DH131" s="27" t="n"/>
      <c r="DI131" s="27" t="n"/>
      <c r="DJ131" s="27" t="n"/>
      <c r="DK131" s="27" t="n"/>
      <c r="DL131" s="27" t="n"/>
      <c r="DM131" s="27" t="n"/>
      <c r="DN131" s="27" t="n"/>
      <c r="DO131" s="27" t="n"/>
      <c r="DP131" s="27" t="n"/>
      <c r="DQ131" s="27" t="n"/>
      <c r="DR131" s="27" t="n"/>
      <c r="DS131" s="27" t="n"/>
      <c r="DT131" s="27" t="n"/>
      <c r="DU131" s="27" t="n"/>
      <c r="DV131" s="27" t="n"/>
      <c r="DW131" s="27" t="n"/>
      <c r="DX131" s="27" t="n"/>
      <c r="DY131" s="27" t="n"/>
      <c r="DZ131" s="27" t="n"/>
      <c r="EA131" s="27" t="n"/>
      <c r="EB131" s="27" t="n"/>
      <c r="EC131" s="27" t="n"/>
      <c r="ED131" s="27" t="n"/>
      <c r="EE131" s="27" t="n"/>
      <c r="EF131" s="27" t="n"/>
      <c r="EG131" s="27" t="n"/>
      <c r="EH131" s="27" t="n"/>
      <c r="EI131" s="27" t="n"/>
      <c r="EJ131" s="27" t="n"/>
      <c r="EK131" s="27" t="n"/>
      <c r="EL131" s="27" t="n"/>
      <c r="EM131" s="27" t="n"/>
      <c r="EN131" s="27" t="n"/>
      <c r="EO131" s="27" t="n"/>
      <c r="EP131" s="27" t="n"/>
      <c r="EQ131" s="27" t="n"/>
      <c r="ER131" s="27" t="n"/>
      <c r="ES131" s="27" t="n"/>
      <c r="ET131" s="27" t="n"/>
      <c r="EU131" s="27" t="n"/>
      <c r="EV131" s="27" t="n"/>
      <c r="EW131" s="27" t="n"/>
      <c r="EX131" s="27" t="n"/>
      <c r="EY131" s="27" t="n"/>
      <c r="EZ131" s="27" t="n"/>
      <c r="FA131" s="27" t="n"/>
      <c r="FB131" s="27" t="n"/>
      <c r="FC131" s="27" t="n"/>
      <c r="FD131" s="27" t="n"/>
      <c r="FE131" s="27" t="n"/>
      <c r="FF131" s="27" t="n"/>
      <c r="FG131" s="27" t="n"/>
      <c r="FH131" s="27" t="n"/>
      <c r="FI131" s="27" t="n"/>
      <c r="FJ131" s="27" t="n"/>
      <c r="FK131" s="27" t="n"/>
      <c r="FL131" s="27" t="n"/>
      <c r="FM131" s="27" t="n"/>
      <c r="FN131" s="27" t="n"/>
      <c r="FO131" s="27" t="n"/>
      <c r="FP131" s="27" t="n"/>
      <c r="FQ131" s="27" t="n"/>
      <c r="FR131" s="27" t="n"/>
      <c r="FS131" s="27" t="n"/>
      <c r="FT131" s="27" t="n"/>
      <c r="FU131" s="27" t="n"/>
      <c r="FV131" s="27" t="n"/>
      <c r="FW131" s="27" t="n"/>
      <c r="FX131" s="27" t="n"/>
      <c r="FY131" s="27" t="n"/>
      <c r="FZ131" s="27" t="n"/>
      <c r="GA131" s="27" t="n"/>
      <c r="GB131" s="27" t="n"/>
      <c r="GC131" s="27" t="n"/>
      <c r="GD131" s="27" t="n"/>
      <c r="GE131" s="27" t="n"/>
      <c r="GF131" s="27" t="n"/>
      <c r="GG131" s="27" t="n"/>
      <c r="GH131" s="27" t="n"/>
      <c r="GI131" s="27" t="n"/>
      <c r="GJ131" s="27" t="n"/>
      <c r="GK131" s="27" t="n"/>
      <c r="GL131" s="27" t="n"/>
      <c r="GM131" s="27" t="n"/>
      <c r="GN131" s="27" t="n"/>
      <c r="GO131" s="27" t="n"/>
      <c r="GP131" s="27" t="n"/>
      <c r="GQ131" s="27" t="n"/>
      <c r="GR131" s="27" t="n"/>
      <c r="GS131" s="27" t="n"/>
      <c r="GT131" s="27" t="n"/>
      <c r="GU131" s="27" t="n"/>
      <c r="GV131" s="27" t="n"/>
      <c r="GW131" s="27" t="n"/>
      <c r="GX131" s="27" t="n"/>
      <c r="GY131" s="27" t="n"/>
      <c r="GZ131" s="27" t="n"/>
      <c r="HA131" s="27" t="n"/>
      <c r="HB131" s="27" t="n"/>
      <c r="HC131" s="27" t="n"/>
      <c r="HD131" s="27" t="n"/>
      <c r="HE131" s="27" t="n"/>
      <c r="HF131" s="27" t="n"/>
      <c r="HG131" s="27" t="n"/>
      <c r="HH131" s="27" t="n"/>
      <c r="HI131" s="27" t="n"/>
      <c r="HJ131" s="27" t="n"/>
      <c r="HK131" s="27" t="n"/>
      <c r="HL131" s="27" t="n"/>
      <c r="HM131" s="27" t="n"/>
      <c r="HN131" s="27" t="n"/>
      <c r="HO131" s="27" t="n"/>
      <c r="HP131" s="27" t="n"/>
      <c r="HQ131" s="27" t="n"/>
      <c r="HR131" s="27" t="n"/>
      <c r="HS131" s="27" t="n"/>
      <c r="HT131" s="27" t="n"/>
      <c r="HU131" s="27" t="n"/>
      <c r="HV131" s="27" t="n"/>
      <c r="HW131" s="27" t="n"/>
      <c r="HX131" s="27" t="n"/>
      <c r="HY131" s="27" t="n"/>
      <c r="HZ131" s="27" t="n"/>
      <c r="IA131" s="27" t="n"/>
      <c r="IB131" s="27" t="n"/>
      <c r="IC131" s="27" t="n"/>
      <c r="ID131" s="27" t="n"/>
      <c r="IE131" s="27" t="n"/>
      <c r="IF131" s="27" t="n"/>
      <c r="IG131" s="27" t="n"/>
      <c r="IH131" s="27" t="n"/>
      <c r="II131" s="27" t="n"/>
      <c r="IJ131" s="27" t="n"/>
      <c r="IK131" s="27" t="n"/>
      <c r="IL131" s="27" t="n"/>
      <c r="IM131" s="27" t="n"/>
      <c r="IN131" s="27" t="n"/>
      <c r="IO131" s="27" t="n"/>
      <c r="IP131" s="27" t="n"/>
      <c r="IQ131" s="27" t="n"/>
      <c r="IR131" s="27" t="n"/>
      <c r="IS131" s="27" t="n"/>
      <c r="IT131" s="27" t="n"/>
      <c r="IU131" s="27" t="n"/>
      <c r="IV131" s="27" t="n"/>
    </row>
    <row r="132" ht="13" customHeight="1" s="195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  <c r="AA132" s="27" t="n"/>
      <c r="AB132" s="27" t="n"/>
      <c r="AC132" s="27" t="n"/>
      <c r="AD132" s="27" t="n"/>
      <c r="AE132" s="27" t="n"/>
      <c r="AF132" s="27" t="n"/>
      <c r="AG132" s="27" t="n"/>
      <c r="AH132" s="27" t="n"/>
      <c r="AI132" s="27" t="n"/>
      <c r="AJ132" s="27" t="n"/>
      <c r="AK132" s="27" t="n"/>
      <c r="AL132" s="27" t="n"/>
      <c r="AM132" s="27" t="n"/>
      <c r="AN132" s="27" t="n"/>
      <c r="AO132" s="27" t="n"/>
      <c r="AP132" s="27" t="n"/>
      <c r="AQ132" s="27" t="n"/>
      <c r="AR132" s="27" t="n"/>
      <c r="AS132" s="27" t="n"/>
      <c r="AT132" s="27" t="n"/>
      <c r="AU132" s="27" t="n"/>
      <c r="AV132" s="27" t="n"/>
      <c r="AW132" s="27" t="n"/>
      <c r="AX132" s="27" t="n"/>
      <c r="AY132" s="27" t="n"/>
      <c r="AZ132" s="27" t="n"/>
      <c r="BA132" s="27" t="n"/>
      <c r="BB132" s="27" t="n"/>
      <c r="BC132" s="27" t="n"/>
      <c r="BD132" s="27" t="n"/>
      <c r="BE132" s="27" t="n"/>
      <c r="BF132" s="27" t="n"/>
      <c r="BG132" s="27" t="n"/>
      <c r="BH132" s="27" t="n"/>
      <c r="BI132" s="27" t="n"/>
      <c r="BJ132" s="27" t="n"/>
      <c r="BK132" s="27" t="n"/>
      <c r="BL132" s="27" t="n"/>
      <c r="BM132" s="27" t="n"/>
      <c r="BN132" s="27" t="n"/>
      <c r="BO132" s="27" t="n"/>
      <c r="BP132" s="27" t="n"/>
      <c r="BQ132" s="27" t="n"/>
      <c r="BR132" s="27" t="n"/>
      <c r="BS132" s="27" t="n"/>
      <c r="BT132" s="27" t="n"/>
      <c r="BU132" s="27" t="n"/>
      <c r="BV132" s="27" t="n"/>
      <c r="BW132" s="27" t="n"/>
      <c r="BX132" s="27" t="n"/>
      <c r="BY132" s="27" t="n"/>
      <c r="BZ132" s="27" t="n"/>
      <c r="CA132" s="27" t="n"/>
      <c r="CB132" s="27" t="n"/>
      <c r="CC132" s="27" t="n"/>
      <c r="CD132" s="27" t="n"/>
      <c r="CE132" s="27" t="n"/>
      <c r="CF132" s="27" t="n"/>
      <c r="CG132" s="27" t="n"/>
      <c r="CH132" s="27" t="n"/>
      <c r="CI132" s="27" t="n"/>
      <c r="CJ132" s="27" t="n"/>
      <c r="CK132" s="27" t="n"/>
      <c r="CL132" s="27" t="n"/>
      <c r="CM132" s="27" t="n"/>
      <c r="CN132" s="27" t="n"/>
      <c r="CO132" s="27" t="n"/>
      <c r="CP132" s="27" t="n"/>
      <c r="CQ132" s="27" t="n"/>
      <c r="CR132" s="27" t="n"/>
      <c r="CS132" s="27" t="n"/>
      <c r="CT132" s="27" t="n"/>
      <c r="CU132" s="27" t="n"/>
      <c r="CV132" s="27" t="n"/>
      <c r="CW132" s="27" t="n"/>
      <c r="CX132" s="27" t="n"/>
      <c r="CY132" s="27" t="n"/>
      <c r="CZ132" s="27" t="n"/>
      <c r="DA132" s="27" t="n"/>
      <c r="DB132" s="27" t="n"/>
      <c r="DC132" s="27" t="n"/>
      <c r="DD132" s="27" t="n"/>
      <c r="DE132" s="27" t="n"/>
      <c r="DF132" s="27" t="n"/>
      <c r="DG132" s="27" t="n"/>
      <c r="DH132" s="27" t="n"/>
      <c r="DI132" s="27" t="n"/>
      <c r="DJ132" s="27" t="n"/>
      <c r="DK132" s="27" t="n"/>
      <c r="DL132" s="27" t="n"/>
      <c r="DM132" s="27" t="n"/>
      <c r="DN132" s="27" t="n"/>
      <c r="DO132" s="27" t="n"/>
      <c r="DP132" s="27" t="n"/>
      <c r="DQ132" s="27" t="n"/>
      <c r="DR132" s="27" t="n"/>
      <c r="DS132" s="27" t="n"/>
      <c r="DT132" s="27" t="n"/>
      <c r="DU132" s="27" t="n"/>
      <c r="DV132" s="27" t="n"/>
      <c r="DW132" s="27" t="n"/>
      <c r="DX132" s="27" t="n"/>
      <c r="DY132" s="27" t="n"/>
      <c r="DZ132" s="27" t="n"/>
      <c r="EA132" s="27" t="n"/>
      <c r="EB132" s="27" t="n"/>
      <c r="EC132" s="27" t="n"/>
      <c r="ED132" s="27" t="n"/>
      <c r="EE132" s="27" t="n"/>
      <c r="EF132" s="27" t="n"/>
      <c r="EG132" s="27" t="n"/>
      <c r="EH132" s="27" t="n"/>
      <c r="EI132" s="27" t="n"/>
      <c r="EJ132" s="27" t="n"/>
      <c r="EK132" s="27" t="n"/>
      <c r="EL132" s="27" t="n"/>
      <c r="EM132" s="27" t="n"/>
      <c r="EN132" s="27" t="n"/>
      <c r="EO132" s="27" t="n"/>
      <c r="EP132" s="27" t="n"/>
      <c r="EQ132" s="27" t="n"/>
      <c r="ER132" s="27" t="n"/>
      <c r="ES132" s="27" t="n"/>
      <c r="ET132" s="27" t="n"/>
      <c r="EU132" s="27" t="n"/>
      <c r="EV132" s="27" t="n"/>
      <c r="EW132" s="27" t="n"/>
      <c r="EX132" s="27" t="n"/>
      <c r="EY132" s="27" t="n"/>
      <c r="EZ132" s="27" t="n"/>
      <c r="FA132" s="27" t="n"/>
      <c r="FB132" s="27" t="n"/>
      <c r="FC132" s="27" t="n"/>
      <c r="FD132" s="27" t="n"/>
      <c r="FE132" s="27" t="n"/>
      <c r="FF132" s="27" t="n"/>
      <c r="FG132" s="27" t="n"/>
      <c r="FH132" s="27" t="n"/>
      <c r="FI132" s="27" t="n"/>
      <c r="FJ132" s="27" t="n"/>
      <c r="FK132" s="27" t="n"/>
      <c r="FL132" s="27" t="n"/>
      <c r="FM132" s="27" t="n"/>
      <c r="FN132" s="27" t="n"/>
      <c r="FO132" s="27" t="n"/>
      <c r="FP132" s="27" t="n"/>
      <c r="FQ132" s="27" t="n"/>
      <c r="FR132" s="27" t="n"/>
      <c r="FS132" s="27" t="n"/>
      <c r="FT132" s="27" t="n"/>
      <c r="FU132" s="27" t="n"/>
      <c r="FV132" s="27" t="n"/>
      <c r="FW132" s="27" t="n"/>
      <c r="FX132" s="27" t="n"/>
      <c r="FY132" s="27" t="n"/>
      <c r="FZ132" s="27" t="n"/>
      <c r="GA132" s="27" t="n"/>
      <c r="GB132" s="27" t="n"/>
      <c r="GC132" s="27" t="n"/>
      <c r="GD132" s="27" t="n"/>
      <c r="GE132" s="27" t="n"/>
      <c r="GF132" s="27" t="n"/>
      <c r="GG132" s="27" t="n"/>
      <c r="GH132" s="27" t="n"/>
      <c r="GI132" s="27" t="n"/>
      <c r="GJ132" s="27" t="n"/>
      <c r="GK132" s="27" t="n"/>
      <c r="GL132" s="27" t="n"/>
      <c r="GM132" s="27" t="n"/>
      <c r="GN132" s="27" t="n"/>
      <c r="GO132" s="27" t="n"/>
      <c r="GP132" s="27" t="n"/>
      <c r="GQ132" s="27" t="n"/>
      <c r="GR132" s="27" t="n"/>
      <c r="GS132" s="27" t="n"/>
      <c r="GT132" s="27" t="n"/>
      <c r="GU132" s="27" t="n"/>
      <c r="GV132" s="27" t="n"/>
      <c r="GW132" s="27" t="n"/>
      <c r="GX132" s="27" t="n"/>
      <c r="GY132" s="27" t="n"/>
      <c r="GZ132" s="27" t="n"/>
      <c r="HA132" s="27" t="n"/>
      <c r="HB132" s="27" t="n"/>
      <c r="HC132" s="27" t="n"/>
      <c r="HD132" s="27" t="n"/>
      <c r="HE132" s="27" t="n"/>
      <c r="HF132" s="27" t="n"/>
      <c r="HG132" s="27" t="n"/>
      <c r="HH132" s="27" t="n"/>
      <c r="HI132" s="27" t="n"/>
      <c r="HJ132" s="27" t="n"/>
      <c r="HK132" s="27" t="n"/>
      <c r="HL132" s="27" t="n"/>
      <c r="HM132" s="27" t="n"/>
      <c r="HN132" s="27" t="n"/>
      <c r="HO132" s="27" t="n"/>
      <c r="HP132" s="27" t="n"/>
      <c r="HQ132" s="27" t="n"/>
      <c r="HR132" s="27" t="n"/>
      <c r="HS132" s="27" t="n"/>
      <c r="HT132" s="27" t="n"/>
      <c r="HU132" s="27" t="n"/>
      <c r="HV132" s="27" t="n"/>
      <c r="HW132" s="27" t="n"/>
      <c r="HX132" s="27" t="n"/>
      <c r="HY132" s="27" t="n"/>
      <c r="HZ132" s="27" t="n"/>
      <c r="IA132" s="27" t="n"/>
      <c r="IB132" s="27" t="n"/>
      <c r="IC132" s="27" t="n"/>
      <c r="ID132" s="27" t="n"/>
      <c r="IE132" s="27" t="n"/>
      <c r="IF132" s="27" t="n"/>
      <c r="IG132" s="27" t="n"/>
      <c r="IH132" s="27" t="n"/>
      <c r="II132" s="27" t="n"/>
      <c r="IJ132" s="27" t="n"/>
      <c r="IK132" s="27" t="n"/>
      <c r="IL132" s="27" t="n"/>
      <c r="IM132" s="27" t="n"/>
      <c r="IN132" s="27" t="n"/>
      <c r="IO132" s="27" t="n"/>
      <c r="IP132" s="27" t="n"/>
      <c r="IQ132" s="27" t="n"/>
      <c r="IR132" s="27" t="n"/>
      <c r="IS132" s="27" t="n"/>
      <c r="IT132" s="27" t="n"/>
      <c r="IU132" s="27" t="n"/>
      <c r="IV132" s="27" t="n"/>
    </row>
    <row r="133" ht="13" customHeight="1" s="195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  <c r="AA133" s="27" t="n"/>
      <c r="AB133" s="27" t="n"/>
      <c r="AC133" s="27" t="n"/>
      <c r="AD133" s="27" t="n"/>
      <c r="AE133" s="27" t="n"/>
      <c r="AF133" s="27" t="n"/>
      <c r="AG133" s="27" t="n"/>
      <c r="AH133" s="27" t="n"/>
      <c r="AI133" s="27" t="n"/>
      <c r="AJ133" s="27" t="n"/>
      <c r="AK133" s="27" t="n"/>
      <c r="AL133" s="27" t="n"/>
      <c r="AM133" s="27" t="n"/>
      <c r="AN133" s="27" t="n"/>
      <c r="AO133" s="27" t="n"/>
      <c r="AP133" s="27" t="n"/>
      <c r="AQ133" s="27" t="n"/>
      <c r="AR133" s="27" t="n"/>
      <c r="AS133" s="27" t="n"/>
      <c r="AT133" s="27" t="n"/>
      <c r="AU133" s="27" t="n"/>
      <c r="AV133" s="27" t="n"/>
      <c r="AW133" s="27" t="n"/>
      <c r="AX133" s="27" t="n"/>
      <c r="AY133" s="27" t="n"/>
      <c r="AZ133" s="27" t="n"/>
      <c r="BA133" s="27" t="n"/>
      <c r="BB133" s="27" t="n"/>
      <c r="BC133" s="27" t="n"/>
      <c r="BD133" s="27" t="n"/>
      <c r="BE133" s="27" t="n"/>
      <c r="BF133" s="27" t="n"/>
      <c r="BG133" s="27" t="n"/>
      <c r="BH133" s="27" t="n"/>
      <c r="BI133" s="27" t="n"/>
      <c r="BJ133" s="27" t="n"/>
      <c r="BK133" s="27" t="n"/>
      <c r="BL133" s="27" t="n"/>
      <c r="BM133" s="27" t="n"/>
      <c r="BN133" s="27" t="n"/>
      <c r="BO133" s="27" t="n"/>
      <c r="BP133" s="27" t="n"/>
      <c r="BQ133" s="27" t="n"/>
      <c r="BR133" s="27" t="n"/>
      <c r="BS133" s="27" t="n"/>
      <c r="BT133" s="27" t="n"/>
      <c r="BU133" s="27" t="n"/>
      <c r="BV133" s="27" t="n"/>
      <c r="BW133" s="27" t="n"/>
      <c r="BX133" s="27" t="n"/>
      <c r="BY133" s="27" t="n"/>
      <c r="BZ133" s="27" t="n"/>
      <c r="CA133" s="27" t="n"/>
      <c r="CB133" s="27" t="n"/>
      <c r="CC133" s="27" t="n"/>
      <c r="CD133" s="27" t="n"/>
      <c r="CE133" s="27" t="n"/>
      <c r="CF133" s="27" t="n"/>
      <c r="CG133" s="27" t="n"/>
      <c r="CH133" s="27" t="n"/>
      <c r="CI133" s="27" t="n"/>
      <c r="CJ133" s="27" t="n"/>
      <c r="CK133" s="27" t="n"/>
      <c r="CL133" s="27" t="n"/>
      <c r="CM133" s="27" t="n"/>
      <c r="CN133" s="27" t="n"/>
      <c r="CO133" s="27" t="n"/>
      <c r="CP133" s="27" t="n"/>
      <c r="CQ133" s="27" t="n"/>
      <c r="CR133" s="27" t="n"/>
      <c r="CS133" s="27" t="n"/>
      <c r="CT133" s="27" t="n"/>
      <c r="CU133" s="27" t="n"/>
      <c r="CV133" s="27" t="n"/>
      <c r="CW133" s="27" t="n"/>
      <c r="CX133" s="27" t="n"/>
      <c r="CY133" s="27" t="n"/>
      <c r="CZ133" s="27" t="n"/>
      <c r="DA133" s="27" t="n"/>
      <c r="DB133" s="27" t="n"/>
      <c r="DC133" s="27" t="n"/>
      <c r="DD133" s="27" t="n"/>
      <c r="DE133" s="27" t="n"/>
      <c r="DF133" s="27" t="n"/>
      <c r="DG133" s="27" t="n"/>
      <c r="DH133" s="27" t="n"/>
      <c r="DI133" s="27" t="n"/>
      <c r="DJ133" s="27" t="n"/>
      <c r="DK133" s="27" t="n"/>
      <c r="DL133" s="27" t="n"/>
      <c r="DM133" s="27" t="n"/>
      <c r="DN133" s="27" t="n"/>
      <c r="DO133" s="27" t="n"/>
      <c r="DP133" s="27" t="n"/>
      <c r="DQ133" s="27" t="n"/>
      <c r="DR133" s="27" t="n"/>
      <c r="DS133" s="27" t="n"/>
      <c r="DT133" s="27" t="n"/>
      <c r="DU133" s="27" t="n"/>
      <c r="DV133" s="27" t="n"/>
      <c r="DW133" s="27" t="n"/>
      <c r="DX133" s="27" t="n"/>
      <c r="DY133" s="27" t="n"/>
      <c r="DZ133" s="27" t="n"/>
      <c r="EA133" s="27" t="n"/>
      <c r="EB133" s="27" t="n"/>
      <c r="EC133" s="27" t="n"/>
      <c r="ED133" s="27" t="n"/>
      <c r="EE133" s="27" t="n"/>
      <c r="EF133" s="27" t="n"/>
      <c r="EG133" s="27" t="n"/>
      <c r="EH133" s="27" t="n"/>
      <c r="EI133" s="27" t="n"/>
      <c r="EJ133" s="27" t="n"/>
      <c r="EK133" s="27" t="n"/>
      <c r="EL133" s="27" t="n"/>
      <c r="EM133" s="27" t="n"/>
      <c r="EN133" s="27" t="n"/>
      <c r="EO133" s="27" t="n"/>
      <c r="EP133" s="27" t="n"/>
      <c r="EQ133" s="27" t="n"/>
      <c r="ER133" s="27" t="n"/>
      <c r="ES133" s="27" t="n"/>
      <c r="ET133" s="27" t="n"/>
      <c r="EU133" s="27" t="n"/>
      <c r="EV133" s="27" t="n"/>
      <c r="EW133" s="27" t="n"/>
      <c r="EX133" s="27" t="n"/>
      <c r="EY133" s="27" t="n"/>
      <c r="EZ133" s="27" t="n"/>
      <c r="FA133" s="27" t="n"/>
      <c r="FB133" s="27" t="n"/>
      <c r="FC133" s="27" t="n"/>
      <c r="FD133" s="27" t="n"/>
      <c r="FE133" s="27" t="n"/>
      <c r="FF133" s="27" t="n"/>
      <c r="FG133" s="27" t="n"/>
      <c r="FH133" s="27" t="n"/>
      <c r="FI133" s="27" t="n"/>
      <c r="FJ133" s="27" t="n"/>
      <c r="FK133" s="27" t="n"/>
      <c r="FL133" s="27" t="n"/>
      <c r="FM133" s="27" t="n"/>
      <c r="FN133" s="27" t="n"/>
      <c r="FO133" s="27" t="n"/>
      <c r="FP133" s="27" t="n"/>
      <c r="FQ133" s="27" t="n"/>
      <c r="FR133" s="27" t="n"/>
      <c r="FS133" s="27" t="n"/>
      <c r="FT133" s="27" t="n"/>
      <c r="FU133" s="27" t="n"/>
      <c r="FV133" s="27" t="n"/>
      <c r="FW133" s="27" t="n"/>
      <c r="FX133" s="27" t="n"/>
      <c r="FY133" s="27" t="n"/>
      <c r="FZ133" s="27" t="n"/>
      <c r="GA133" s="27" t="n"/>
      <c r="GB133" s="27" t="n"/>
      <c r="GC133" s="27" t="n"/>
      <c r="GD133" s="27" t="n"/>
      <c r="GE133" s="27" t="n"/>
      <c r="GF133" s="27" t="n"/>
      <c r="GG133" s="27" t="n"/>
      <c r="GH133" s="27" t="n"/>
      <c r="GI133" s="27" t="n"/>
      <c r="GJ133" s="27" t="n"/>
      <c r="GK133" s="27" t="n"/>
      <c r="GL133" s="27" t="n"/>
      <c r="GM133" s="27" t="n"/>
      <c r="GN133" s="27" t="n"/>
      <c r="GO133" s="27" t="n"/>
      <c r="GP133" s="27" t="n"/>
      <c r="GQ133" s="27" t="n"/>
      <c r="GR133" s="27" t="n"/>
      <c r="GS133" s="27" t="n"/>
      <c r="GT133" s="27" t="n"/>
      <c r="GU133" s="27" t="n"/>
      <c r="GV133" s="27" t="n"/>
      <c r="GW133" s="27" t="n"/>
      <c r="GX133" s="27" t="n"/>
      <c r="GY133" s="27" t="n"/>
      <c r="GZ133" s="27" t="n"/>
      <c r="HA133" s="27" t="n"/>
      <c r="HB133" s="27" t="n"/>
      <c r="HC133" s="27" t="n"/>
      <c r="HD133" s="27" t="n"/>
      <c r="HE133" s="27" t="n"/>
      <c r="HF133" s="27" t="n"/>
      <c r="HG133" s="27" t="n"/>
      <c r="HH133" s="27" t="n"/>
      <c r="HI133" s="27" t="n"/>
      <c r="HJ133" s="27" t="n"/>
      <c r="HK133" s="27" t="n"/>
      <c r="HL133" s="27" t="n"/>
      <c r="HM133" s="27" t="n"/>
      <c r="HN133" s="27" t="n"/>
      <c r="HO133" s="27" t="n"/>
      <c r="HP133" s="27" t="n"/>
      <c r="HQ133" s="27" t="n"/>
      <c r="HR133" s="27" t="n"/>
      <c r="HS133" s="27" t="n"/>
      <c r="HT133" s="27" t="n"/>
      <c r="HU133" s="27" t="n"/>
      <c r="HV133" s="27" t="n"/>
      <c r="HW133" s="27" t="n"/>
      <c r="HX133" s="27" t="n"/>
      <c r="HY133" s="27" t="n"/>
      <c r="HZ133" s="27" t="n"/>
      <c r="IA133" s="27" t="n"/>
      <c r="IB133" s="27" t="n"/>
      <c r="IC133" s="27" t="n"/>
      <c r="ID133" s="27" t="n"/>
      <c r="IE133" s="27" t="n"/>
      <c r="IF133" s="27" t="n"/>
      <c r="IG133" s="27" t="n"/>
      <c r="IH133" s="27" t="n"/>
      <c r="II133" s="27" t="n"/>
      <c r="IJ133" s="27" t="n"/>
      <c r="IK133" s="27" t="n"/>
      <c r="IL133" s="27" t="n"/>
      <c r="IM133" s="27" t="n"/>
      <c r="IN133" s="27" t="n"/>
      <c r="IO133" s="27" t="n"/>
      <c r="IP133" s="27" t="n"/>
      <c r="IQ133" s="27" t="n"/>
      <c r="IR133" s="27" t="n"/>
      <c r="IS133" s="27" t="n"/>
      <c r="IT133" s="27" t="n"/>
      <c r="IU133" s="27" t="n"/>
      <c r="IV133" s="27" t="n"/>
    </row>
    <row r="134" ht="13" customHeight="1" s="195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  <c r="AA134" s="27" t="n"/>
      <c r="AB134" s="27" t="n"/>
      <c r="AC134" s="27" t="n"/>
      <c r="AD134" s="27" t="n"/>
      <c r="AE134" s="27" t="n"/>
      <c r="AF134" s="27" t="n"/>
      <c r="AG134" s="27" t="n"/>
      <c r="AH134" s="27" t="n"/>
      <c r="AI134" s="27" t="n"/>
      <c r="AJ134" s="27" t="n"/>
      <c r="AK134" s="27" t="n"/>
      <c r="AL134" s="27" t="n"/>
      <c r="AM134" s="27" t="n"/>
      <c r="AN134" s="27" t="n"/>
      <c r="AO134" s="27" t="n"/>
      <c r="AP134" s="27" t="n"/>
      <c r="AQ134" s="27" t="n"/>
      <c r="AR134" s="27" t="n"/>
      <c r="AS134" s="27" t="n"/>
      <c r="AT134" s="27" t="n"/>
      <c r="AU134" s="27" t="n"/>
      <c r="AV134" s="27" t="n"/>
      <c r="AW134" s="27" t="n"/>
      <c r="AX134" s="27" t="n"/>
      <c r="AY134" s="27" t="n"/>
      <c r="AZ134" s="27" t="n"/>
      <c r="BA134" s="27" t="n"/>
      <c r="BB134" s="27" t="n"/>
      <c r="BC134" s="27" t="n"/>
      <c r="BD134" s="27" t="n"/>
      <c r="BE134" s="27" t="n"/>
      <c r="BF134" s="27" t="n"/>
      <c r="BG134" s="27" t="n"/>
      <c r="BH134" s="27" t="n"/>
      <c r="BI134" s="27" t="n"/>
      <c r="BJ134" s="27" t="n"/>
      <c r="BK134" s="27" t="n"/>
      <c r="BL134" s="27" t="n"/>
      <c r="BM134" s="27" t="n"/>
      <c r="BN134" s="27" t="n"/>
      <c r="BO134" s="27" t="n"/>
      <c r="BP134" s="27" t="n"/>
      <c r="BQ134" s="27" t="n"/>
      <c r="BR134" s="27" t="n"/>
      <c r="BS134" s="27" t="n"/>
      <c r="BT134" s="27" t="n"/>
      <c r="BU134" s="27" t="n"/>
      <c r="BV134" s="27" t="n"/>
      <c r="BW134" s="27" t="n"/>
      <c r="BX134" s="27" t="n"/>
      <c r="BY134" s="27" t="n"/>
      <c r="BZ134" s="27" t="n"/>
      <c r="CA134" s="27" t="n"/>
      <c r="CB134" s="27" t="n"/>
      <c r="CC134" s="27" t="n"/>
      <c r="CD134" s="27" t="n"/>
      <c r="CE134" s="27" t="n"/>
      <c r="CF134" s="27" t="n"/>
      <c r="CG134" s="27" t="n"/>
      <c r="CH134" s="27" t="n"/>
      <c r="CI134" s="27" t="n"/>
      <c r="CJ134" s="27" t="n"/>
      <c r="CK134" s="27" t="n"/>
      <c r="CL134" s="27" t="n"/>
      <c r="CM134" s="27" t="n"/>
      <c r="CN134" s="27" t="n"/>
      <c r="CO134" s="27" t="n"/>
      <c r="CP134" s="27" t="n"/>
      <c r="CQ134" s="27" t="n"/>
      <c r="CR134" s="27" t="n"/>
      <c r="CS134" s="27" t="n"/>
      <c r="CT134" s="27" t="n"/>
      <c r="CU134" s="27" t="n"/>
      <c r="CV134" s="27" t="n"/>
      <c r="CW134" s="27" t="n"/>
      <c r="CX134" s="27" t="n"/>
      <c r="CY134" s="27" t="n"/>
      <c r="CZ134" s="27" t="n"/>
      <c r="DA134" s="27" t="n"/>
      <c r="DB134" s="27" t="n"/>
      <c r="DC134" s="27" t="n"/>
      <c r="DD134" s="27" t="n"/>
      <c r="DE134" s="27" t="n"/>
      <c r="DF134" s="27" t="n"/>
      <c r="DG134" s="27" t="n"/>
      <c r="DH134" s="27" t="n"/>
      <c r="DI134" s="27" t="n"/>
      <c r="DJ134" s="27" t="n"/>
      <c r="DK134" s="27" t="n"/>
      <c r="DL134" s="27" t="n"/>
      <c r="DM134" s="27" t="n"/>
      <c r="DN134" s="27" t="n"/>
      <c r="DO134" s="27" t="n"/>
      <c r="DP134" s="27" t="n"/>
      <c r="DQ134" s="27" t="n"/>
      <c r="DR134" s="27" t="n"/>
      <c r="DS134" s="27" t="n"/>
      <c r="DT134" s="27" t="n"/>
      <c r="DU134" s="27" t="n"/>
      <c r="DV134" s="27" t="n"/>
      <c r="DW134" s="27" t="n"/>
      <c r="DX134" s="27" t="n"/>
      <c r="DY134" s="27" t="n"/>
      <c r="DZ134" s="27" t="n"/>
      <c r="EA134" s="27" t="n"/>
      <c r="EB134" s="27" t="n"/>
      <c r="EC134" s="27" t="n"/>
      <c r="ED134" s="27" t="n"/>
      <c r="EE134" s="27" t="n"/>
      <c r="EF134" s="27" t="n"/>
      <c r="EG134" s="27" t="n"/>
      <c r="EH134" s="27" t="n"/>
      <c r="EI134" s="27" t="n"/>
      <c r="EJ134" s="27" t="n"/>
      <c r="EK134" s="27" t="n"/>
      <c r="EL134" s="27" t="n"/>
      <c r="EM134" s="27" t="n"/>
      <c r="EN134" s="27" t="n"/>
      <c r="EO134" s="27" t="n"/>
      <c r="EP134" s="27" t="n"/>
      <c r="EQ134" s="27" t="n"/>
      <c r="ER134" s="27" t="n"/>
      <c r="ES134" s="27" t="n"/>
      <c r="ET134" s="27" t="n"/>
      <c r="EU134" s="27" t="n"/>
      <c r="EV134" s="27" t="n"/>
      <c r="EW134" s="27" t="n"/>
      <c r="EX134" s="27" t="n"/>
      <c r="EY134" s="27" t="n"/>
      <c r="EZ134" s="27" t="n"/>
      <c r="FA134" s="27" t="n"/>
      <c r="FB134" s="27" t="n"/>
      <c r="FC134" s="27" t="n"/>
      <c r="FD134" s="27" t="n"/>
      <c r="FE134" s="27" t="n"/>
      <c r="FF134" s="27" t="n"/>
      <c r="FG134" s="27" t="n"/>
      <c r="FH134" s="27" t="n"/>
      <c r="FI134" s="27" t="n"/>
      <c r="FJ134" s="27" t="n"/>
      <c r="FK134" s="27" t="n"/>
      <c r="FL134" s="27" t="n"/>
      <c r="FM134" s="27" t="n"/>
      <c r="FN134" s="27" t="n"/>
      <c r="FO134" s="27" t="n"/>
      <c r="FP134" s="27" t="n"/>
      <c r="FQ134" s="27" t="n"/>
      <c r="FR134" s="27" t="n"/>
      <c r="FS134" s="27" t="n"/>
      <c r="FT134" s="27" t="n"/>
      <c r="FU134" s="27" t="n"/>
      <c r="FV134" s="27" t="n"/>
      <c r="FW134" s="27" t="n"/>
      <c r="FX134" s="27" t="n"/>
      <c r="FY134" s="27" t="n"/>
      <c r="FZ134" s="27" t="n"/>
      <c r="GA134" s="27" t="n"/>
      <c r="GB134" s="27" t="n"/>
      <c r="GC134" s="27" t="n"/>
      <c r="GD134" s="27" t="n"/>
      <c r="GE134" s="27" t="n"/>
      <c r="GF134" s="27" t="n"/>
      <c r="GG134" s="27" t="n"/>
      <c r="GH134" s="27" t="n"/>
      <c r="GI134" s="27" t="n"/>
      <c r="GJ134" s="27" t="n"/>
      <c r="GK134" s="27" t="n"/>
      <c r="GL134" s="27" t="n"/>
      <c r="GM134" s="27" t="n"/>
      <c r="GN134" s="27" t="n"/>
      <c r="GO134" s="27" t="n"/>
      <c r="GP134" s="27" t="n"/>
      <c r="GQ134" s="27" t="n"/>
      <c r="GR134" s="27" t="n"/>
      <c r="GS134" s="27" t="n"/>
      <c r="GT134" s="27" t="n"/>
      <c r="GU134" s="27" t="n"/>
      <c r="GV134" s="27" t="n"/>
      <c r="GW134" s="27" t="n"/>
      <c r="GX134" s="27" t="n"/>
      <c r="GY134" s="27" t="n"/>
      <c r="GZ134" s="27" t="n"/>
      <c r="HA134" s="27" t="n"/>
      <c r="HB134" s="27" t="n"/>
      <c r="HC134" s="27" t="n"/>
      <c r="HD134" s="27" t="n"/>
      <c r="HE134" s="27" t="n"/>
      <c r="HF134" s="27" t="n"/>
      <c r="HG134" s="27" t="n"/>
      <c r="HH134" s="27" t="n"/>
      <c r="HI134" s="27" t="n"/>
      <c r="HJ134" s="27" t="n"/>
      <c r="HK134" s="27" t="n"/>
      <c r="HL134" s="27" t="n"/>
      <c r="HM134" s="27" t="n"/>
      <c r="HN134" s="27" t="n"/>
      <c r="HO134" s="27" t="n"/>
      <c r="HP134" s="27" t="n"/>
      <c r="HQ134" s="27" t="n"/>
      <c r="HR134" s="27" t="n"/>
      <c r="HS134" s="27" t="n"/>
      <c r="HT134" s="27" t="n"/>
      <c r="HU134" s="27" t="n"/>
      <c r="HV134" s="27" t="n"/>
      <c r="HW134" s="27" t="n"/>
      <c r="HX134" s="27" t="n"/>
      <c r="HY134" s="27" t="n"/>
      <c r="HZ134" s="27" t="n"/>
      <c r="IA134" s="27" t="n"/>
      <c r="IB134" s="27" t="n"/>
      <c r="IC134" s="27" t="n"/>
      <c r="ID134" s="27" t="n"/>
      <c r="IE134" s="27" t="n"/>
      <c r="IF134" s="27" t="n"/>
      <c r="IG134" s="27" t="n"/>
      <c r="IH134" s="27" t="n"/>
      <c r="II134" s="27" t="n"/>
      <c r="IJ134" s="27" t="n"/>
      <c r="IK134" s="27" t="n"/>
      <c r="IL134" s="27" t="n"/>
      <c r="IM134" s="27" t="n"/>
      <c r="IN134" s="27" t="n"/>
      <c r="IO134" s="27" t="n"/>
      <c r="IP134" s="27" t="n"/>
      <c r="IQ134" s="27" t="n"/>
      <c r="IR134" s="27" t="n"/>
      <c r="IS134" s="27" t="n"/>
      <c r="IT134" s="27" t="n"/>
      <c r="IU134" s="27" t="n"/>
      <c r="IV134" s="27" t="n"/>
    </row>
    <row r="135" ht="13" customHeight="1" s="195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  <c r="AA135" s="27" t="n"/>
      <c r="AB135" s="27" t="n"/>
      <c r="AC135" s="27" t="n"/>
      <c r="AD135" s="27" t="n"/>
      <c r="AE135" s="27" t="n"/>
      <c r="AF135" s="27" t="n"/>
      <c r="AG135" s="27" t="n"/>
      <c r="AH135" s="27" t="n"/>
      <c r="AI135" s="27" t="n"/>
      <c r="AJ135" s="27" t="n"/>
      <c r="AK135" s="27" t="n"/>
      <c r="AL135" s="27" t="n"/>
      <c r="AM135" s="27" t="n"/>
      <c r="AN135" s="27" t="n"/>
      <c r="AO135" s="27" t="n"/>
      <c r="AP135" s="27" t="n"/>
      <c r="AQ135" s="27" t="n"/>
      <c r="AR135" s="27" t="n"/>
      <c r="AS135" s="27" t="n"/>
      <c r="AT135" s="27" t="n"/>
      <c r="AU135" s="27" t="n"/>
      <c r="AV135" s="27" t="n"/>
      <c r="AW135" s="27" t="n"/>
      <c r="AX135" s="27" t="n"/>
      <c r="AY135" s="27" t="n"/>
      <c r="AZ135" s="27" t="n"/>
      <c r="BA135" s="27" t="n"/>
      <c r="BB135" s="27" t="n"/>
      <c r="BC135" s="27" t="n"/>
      <c r="BD135" s="27" t="n"/>
      <c r="BE135" s="27" t="n"/>
      <c r="BF135" s="27" t="n"/>
      <c r="BG135" s="27" t="n"/>
      <c r="BH135" s="27" t="n"/>
      <c r="BI135" s="27" t="n"/>
      <c r="BJ135" s="27" t="n"/>
      <c r="BK135" s="27" t="n"/>
      <c r="BL135" s="27" t="n"/>
      <c r="BM135" s="27" t="n"/>
      <c r="BN135" s="27" t="n"/>
      <c r="BO135" s="27" t="n"/>
      <c r="BP135" s="27" t="n"/>
      <c r="BQ135" s="27" t="n"/>
      <c r="BR135" s="27" t="n"/>
      <c r="BS135" s="27" t="n"/>
      <c r="BT135" s="27" t="n"/>
      <c r="BU135" s="27" t="n"/>
      <c r="BV135" s="27" t="n"/>
      <c r="BW135" s="27" t="n"/>
      <c r="BX135" s="27" t="n"/>
      <c r="BY135" s="27" t="n"/>
      <c r="BZ135" s="27" t="n"/>
      <c r="CA135" s="27" t="n"/>
      <c r="CB135" s="27" t="n"/>
      <c r="CC135" s="27" t="n"/>
      <c r="CD135" s="27" t="n"/>
      <c r="CE135" s="27" t="n"/>
      <c r="CF135" s="27" t="n"/>
      <c r="CG135" s="27" t="n"/>
      <c r="CH135" s="27" t="n"/>
      <c r="CI135" s="27" t="n"/>
      <c r="CJ135" s="27" t="n"/>
      <c r="CK135" s="27" t="n"/>
      <c r="CL135" s="27" t="n"/>
      <c r="CM135" s="27" t="n"/>
      <c r="CN135" s="27" t="n"/>
      <c r="CO135" s="27" t="n"/>
      <c r="CP135" s="27" t="n"/>
      <c r="CQ135" s="27" t="n"/>
      <c r="CR135" s="27" t="n"/>
      <c r="CS135" s="27" t="n"/>
      <c r="CT135" s="27" t="n"/>
      <c r="CU135" s="27" t="n"/>
      <c r="CV135" s="27" t="n"/>
      <c r="CW135" s="27" t="n"/>
      <c r="CX135" s="27" t="n"/>
      <c r="CY135" s="27" t="n"/>
      <c r="CZ135" s="27" t="n"/>
      <c r="DA135" s="27" t="n"/>
      <c r="DB135" s="27" t="n"/>
      <c r="DC135" s="27" t="n"/>
      <c r="DD135" s="27" t="n"/>
      <c r="DE135" s="27" t="n"/>
      <c r="DF135" s="27" t="n"/>
      <c r="DG135" s="27" t="n"/>
      <c r="DH135" s="27" t="n"/>
      <c r="DI135" s="27" t="n"/>
      <c r="DJ135" s="27" t="n"/>
      <c r="DK135" s="27" t="n"/>
      <c r="DL135" s="27" t="n"/>
      <c r="DM135" s="27" t="n"/>
      <c r="DN135" s="27" t="n"/>
      <c r="DO135" s="27" t="n"/>
      <c r="DP135" s="27" t="n"/>
      <c r="DQ135" s="27" t="n"/>
      <c r="DR135" s="27" t="n"/>
      <c r="DS135" s="27" t="n"/>
      <c r="DT135" s="27" t="n"/>
      <c r="DU135" s="27" t="n"/>
      <c r="DV135" s="27" t="n"/>
      <c r="DW135" s="27" t="n"/>
      <c r="DX135" s="27" t="n"/>
      <c r="DY135" s="27" t="n"/>
      <c r="DZ135" s="27" t="n"/>
      <c r="EA135" s="27" t="n"/>
      <c r="EB135" s="27" t="n"/>
      <c r="EC135" s="27" t="n"/>
      <c r="ED135" s="27" t="n"/>
      <c r="EE135" s="27" t="n"/>
      <c r="EF135" s="27" t="n"/>
      <c r="EG135" s="27" t="n"/>
      <c r="EH135" s="27" t="n"/>
      <c r="EI135" s="27" t="n"/>
      <c r="EJ135" s="27" t="n"/>
      <c r="EK135" s="27" t="n"/>
      <c r="EL135" s="27" t="n"/>
      <c r="EM135" s="27" t="n"/>
      <c r="EN135" s="27" t="n"/>
      <c r="EO135" s="27" t="n"/>
      <c r="EP135" s="27" t="n"/>
      <c r="EQ135" s="27" t="n"/>
      <c r="ER135" s="27" t="n"/>
      <c r="ES135" s="27" t="n"/>
      <c r="ET135" s="27" t="n"/>
      <c r="EU135" s="27" t="n"/>
      <c r="EV135" s="27" t="n"/>
      <c r="EW135" s="27" t="n"/>
      <c r="EX135" s="27" t="n"/>
      <c r="EY135" s="27" t="n"/>
      <c r="EZ135" s="27" t="n"/>
      <c r="FA135" s="27" t="n"/>
      <c r="FB135" s="27" t="n"/>
      <c r="FC135" s="27" t="n"/>
      <c r="FD135" s="27" t="n"/>
      <c r="FE135" s="27" t="n"/>
      <c r="FF135" s="27" t="n"/>
      <c r="FG135" s="27" t="n"/>
      <c r="FH135" s="27" t="n"/>
      <c r="FI135" s="27" t="n"/>
      <c r="FJ135" s="27" t="n"/>
      <c r="FK135" s="27" t="n"/>
      <c r="FL135" s="27" t="n"/>
      <c r="FM135" s="27" t="n"/>
      <c r="FN135" s="27" t="n"/>
      <c r="FO135" s="27" t="n"/>
      <c r="FP135" s="27" t="n"/>
      <c r="FQ135" s="27" t="n"/>
      <c r="FR135" s="27" t="n"/>
      <c r="FS135" s="27" t="n"/>
      <c r="FT135" s="27" t="n"/>
      <c r="FU135" s="27" t="n"/>
      <c r="FV135" s="27" t="n"/>
      <c r="FW135" s="27" t="n"/>
      <c r="FX135" s="27" t="n"/>
      <c r="FY135" s="27" t="n"/>
      <c r="FZ135" s="27" t="n"/>
      <c r="GA135" s="27" t="n"/>
      <c r="GB135" s="27" t="n"/>
      <c r="GC135" s="27" t="n"/>
      <c r="GD135" s="27" t="n"/>
      <c r="GE135" s="27" t="n"/>
      <c r="GF135" s="27" t="n"/>
      <c r="GG135" s="27" t="n"/>
      <c r="GH135" s="27" t="n"/>
      <c r="GI135" s="27" t="n"/>
      <c r="GJ135" s="27" t="n"/>
      <c r="GK135" s="27" t="n"/>
      <c r="GL135" s="27" t="n"/>
      <c r="GM135" s="27" t="n"/>
      <c r="GN135" s="27" t="n"/>
      <c r="GO135" s="27" t="n"/>
      <c r="GP135" s="27" t="n"/>
      <c r="GQ135" s="27" t="n"/>
      <c r="GR135" s="27" t="n"/>
      <c r="GS135" s="27" t="n"/>
      <c r="GT135" s="27" t="n"/>
      <c r="GU135" s="27" t="n"/>
      <c r="GV135" s="27" t="n"/>
      <c r="GW135" s="27" t="n"/>
      <c r="GX135" s="27" t="n"/>
      <c r="GY135" s="27" t="n"/>
      <c r="GZ135" s="27" t="n"/>
      <c r="HA135" s="27" t="n"/>
      <c r="HB135" s="27" t="n"/>
      <c r="HC135" s="27" t="n"/>
      <c r="HD135" s="27" t="n"/>
      <c r="HE135" s="27" t="n"/>
      <c r="HF135" s="27" t="n"/>
      <c r="HG135" s="27" t="n"/>
      <c r="HH135" s="27" t="n"/>
      <c r="HI135" s="27" t="n"/>
      <c r="HJ135" s="27" t="n"/>
      <c r="HK135" s="27" t="n"/>
      <c r="HL135" s="27" t="n"/>
      <c r="HM135" s="27" t="n"/>
      <c r="HN135" s="27" t="n"/>
      <c r="HO135" s="27" t="n"/>
      <c r="HP135" s="27" t="n"/>
      <c r="HQ135" s="27" t="n"/>
      <c r="HR135" s="27" t="n"/>
      <c r="HS135" s="27" t="n"/>
      <c r="HT135" s="27" t="n"/>
      <c r="HU135" s="27" t="n"/>
      <c r="HV135" s="27" t="n"/>
      <c r="HW135" s="27" t="n"/>
      <c r="HX135" s="27" t="n"/>
      <c r="HY135" s="27" t="n"/>
      <c r="HZ135" s="27" t="n"/>
      <c r="IA135" s="27" t="n"/>
      <c r="IB135" s="27" t="n"/>
      <c r="IC135" s="27" t="n"/>
      <c r="ID135" s="27" t="n"/>
      <c r="IE135" s="27" t="n"/>
      <c r="IF135" s="27" t="n"/>
      <c r="IG135" s="27" t="n"/>
      <c r="IH135" s="27" t="n"/>
      <c r="II135" s="27" t="n"/>
      <c r="IJ135" s="27" t="n"/>
      <c r="IK135" s="27" t="n"/>
      <c r="IL135" s="27" t="n"/>
      <c r="IM135" s="27" t="n"/>
      <c r="IN135" s="27" t="n"/>
      <c r="IO135" s="27" t="n"/>
      <c r="IP135" s="27" t="n"/>
      <c r="IQ135" s="27" t="n"/>
      <c r="IR135" s="27" t="n"/>
      <c r="IS135" s="27" t="n"/>
      <c r="IT135" s="27" t="n"/>
      <c r="IU135" s="27" t="n"/>
      <c r="IV135" s="27" t="n"/>
    </row>
    <row r="136" ht="13" customHeight="1" s="195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  <c r="AA136" s="27" t="n"/>
      <c r="AB136" s="27" t="n"/>
      <c r="AC136" s="27" t="n"/>
      <c r="AD136" s="27" t="n"/>
      <c r="AE136" s="27" t="n"/>
      <c r="AF136" s="27" t="n"/>
      <c r="AG136" s="27" t="n"/>
      <c r="AH136" s="27" t="n"/>
      <c r="AI136" s="27" t="n"/>
      <c r="AJ136" s="27" t="n"/>
      <c r="AK136" s="27" t="n"/>
      <c r="AL136" s="27" t="n"/>
      <c r="AM136" s="27" t="n"/>
      <c r="AN136" s="27" t="n"/>
      <c r="AO136" s="27" t="n"/>
      <c r="AP136" s="27" t="n"/>
      <c r="AQ136" s="27" t="n"/>
      <c r="AR136" s="27" t="n"/>
      <c r="AS136" s="27" t="n"/>
      <c r="AT136" s="27" t="n"/>
      <c r="AU136" s="27" t="n"/>
      <c r="AV136" s="27" t="n"/>
      <c r="AW136" s="27" t="n"/>
      <c r="AX136" s="27" t="n"/>
      <c r="AY136" s="27" t="n"/>
      <c r="AZ136" s="27" t="n"/>
      <c r="BA136" s="27" t="n"/>
      <c r="BB136" s="27" t="n"/>
      <c r="BC136" s="27" t="n"/>
      <c r="BD136" s="27" t="n"/>
      <c r="BE136" s="27" t="n"/>
      <c r="BF136" s="27" t="n"/>
      <c r="BG136" s="27" t="n"/>
      <c r="BH136" s="27" t="n"/>
      <c r="BI136" s="27" t="n"/>
      <c r="BJ136" s="27" t="n"/>
      <c r="BK136" s="27" t="n"/>
      <c r="BL136" s="27" t="n"/>
      <c r="BM136" s="27" t="n"/>
      <c r="BN136" s="27" t="n"/>
      <c r="BO136" s="27" t="n"/>
      <c r="BP136" s="27" t="n"/>
      <c r="BQ136" s="27" t="n"/>
      <c r="BR136" s="27" t="n"/>
      <c r="BS136" s="27" t="n"/>
      <c r="BT136" s="27" t="n"/>
      <c r="BU136" s="27" t="n"/>
      <c r="BV136" s="27" t="n"/>
      <c r="BW136" s="27" t="n"/>
      <c r="BX136" s="27" t="n"/>
      <c r="BY136" s="27" t="n"/>
      <c r="BZ136" s="27" t="n"/>
      <c r="CA136" s="27" t="n"/>
      <c r="CB136" s="27" t="n"/>
      <c r="CC136" s="27" t="n"/>
      <c r="CD136" s="27" t="n"/>
      <c r="CE136" s="27" t="n"/>
      <c r="CF136" s="27" t="n"/>
      <c r="CG136" s="27" t="n"/>
      <c r="CH136" s="27" t="n"/>
      <c r="CI136" s="27" t="n"/>
      <c r="CJ136" s="27" t="n"/>
      <c r="CK136" s="27" t="n"/>
      <c r="CL136" s="27" t="n"/>
      <c r="CM136" s="27" t="n"/>
      <c r="CN136" s="27" t="n"/>
      <c r="CO136" s="27" t="n"/>
      <c r="CP136" s="27" t="n"/>
      <c r="CQ136" s="27" t="n"/>
      <c r="CR136" s="27" t="n"/>
      <c r="CS136" s="27" t="n"/>
      <c r="CT136" s="27" t="n"/>
      <c r="CU136" s="27" t="n"/>
      <c r="CV136" s="27" t="n"/>
      <c r="CW136" s="27" t="n"/>
      <c r="CX136" s="27" t="n"/>
      <c r="CY136" s="27" t="n"/>
      <c r="CZ136" s="27" t="n"/>
      <c r="DA136" s="27" t="n"/>
      <c r="DB136" s="27" t="n"/>
      <c r="DC136" s="27" t="n"/>
      <c r="DD136" s="27" t="n"/>
      <c r="DE136" s="27" t="n"/>
      <c r="DF136" s="27" t="n"/>
      <c r="DG136" s="27" t="n"/>
      <c r="DH136" s="27" t="n"/>
      <c r="DI136" s="27" t="n"/>
      <c r="DJ136" s="27" t="n"/>
      <c r="DK136" s="27" t="n"/>
      <c r="DL136" s="27" t="n"/>
      <c r="DM136" s="27" t="n"/>
      <c r="DN136" s="27" t="n"/>
      <c r="DO136" s="27" t="n"/>
      <c r="DP136" s="27" t="n"/>
      <c r="DQ136" s="27" t="n"/>
      <c r="DR136" s="27" t="n"/>
      <c r="DS136" s="27" t="n"/>
      <c r="DT136" s="27" t="n"/>
      <c r="DU136" s="27" t="n"/>
      <c r="DV136" s="27" t="n"/>
      <c r="DW136" s="27" t="n"/>
      <c r="DX136" s="27" t="n"/>
      <c r="DY136" s="27" t="n"/>
      <c r="DZ136" s="27" t="n"/>
      <c r="EA136" s="27" t="n"/>
      <c r="EB136" s="27" t="n"/>
      <c r="EC136" s="27" t="n"/>
      <c r="ED136" s="27" t="n"/>
      <c r="EE136" s="27" t="n"/>
      <c r="EF136" s="27" t="n"/>
      <c r="EG136" s="27" t="n"/>
      <c r="EH136" s="27" t="n"/>
      <c r="EI136" s="27" t="n"/>
      <c r="EJ136" s="27" t="n"/>
      <c r="EK136" s="27" t="n"/>
      <c r="EL136" s="27" t="n"/>
      <c r="EM136" s="27" t="n"/>
      <c r="EN136" s="27" t="n"/>
      <c r="EO136" s="27" t="n"/>
      <c r="EP136" s="27" t="n"/>
      <c r="EQ136" s="27" t="n"/>
      <c r="ER136" s="27" t="n"/>
      <c r="ES136" s="27" t="n"/>
      <c r="ET136" s="27" t="n"/>
      <c r="EU136" s="27" t="n"/>
      <c r="EV136" s="27" t="n"/>
      <c r="EW136" s="27" t="n"/>
      <c r="EX136" s="27" t="n"/>
      <c r="EY136" s="27" t="n"/>
      <c r="EZ136" s="27" t="n"/>
      <c r="FA136" s="27" t="n"/>
      <c r="FB136" s="27" t="n"/>
      <c r="FC136" s="27" t="n"/>
      <c r="FD136" s="27" t="n"/>
      <c r="FE136" s="27" t="n"/>
      <c r="FF136" s="27" t="n"/>
      <c r="FG136" s="27" t="n"/>
      <c r="FH136" s="27" t="n"/>
      <c r="FI136" s="27" t="n"/>
      <c r="FJ136" s="27" t="n"/>
      <c r="FK136" s="27" t="n"/>
      <c r="FL136" s="27" t="n"/>
      <c r="FM136" s="27" t="n"/>
      <c r="FN136" s="27" t="n"/>
      <c r="FO136" s="27" t="n"/>
      <c r="FP136" s="27" t="n"/>
      <c r="FQ136" s="27" t="n"/>
      <c r="FR136" s="27" t="n"/>
      <c r="FS136" s="27" t="n"/>
      <c r="FT136" s="27" t="n"/>
      <c r="FU136" s="27" t="n"/>
      <c r="FV136" s="27" t="n"/>
      <c r="FW136" s="27" t="n"/>
      <c r="FX136" s="27" t="n"/>
      <c r="FY136" s="27" t="n"/>
      <c r="FZ136" s="27" t="n"/>
      <c r="GA136" s="27" t="n"/>
      <c r="GB136" s="27" t="n"/>
      <c r="GC136" s="27" t="n"/>
      <c r="GD136" s="27" t="n"/>
      <c r="GE136" s="27" t="n"/>
      <c r="GF136" s="27" t="n"/>
      <c r="GG136" s="27" t="n"/>
      <c r="GH136" s="27" t="n"/>
      <c r="GI136" s="27" t="n"/>
      <c r="GJ136" s="27" t="n"/>
      <c r="GK136" s="27" t="n"/>
      <c r="GL136" s="27" t="n"/>
      <c r="GM136" s="27" t="n"/>
      <c r="GN136" s="27" t="n"/>
      <c r="GO136" s="27" t="n"/>
      <c r="GP136" s="27" t="n"/>
      <c r="GQ136" s="27" t="n"/>
      <c r="GR136" s="27" t="n"/>
      <c r="GS136" s="27" t="n"/>
      <c r="GT136" s="27" t="n"/>
      <c r="GU136" s="27" t="n"/>
      <c r="GV136" s="27" t="n"/>
      <c r="GW136" s="27" t="n"/>
      <c r="GX136" s="27" t="n"/>
      <c r="GY136" s="27" t="n"/>
      <c r="GZ136" s="27" t="n"/>
      <c r="HA136" s="27" t="n"/>
      <c r="HB136" s="27" t="n"/>
      <c r="HC136" s="27" t="n"/>
      <c r="HD136" s="27" t="n"/>
      <c r="HE136" s="27" t="n"/>
      <c r="HF136" s="27" t="n"/>
      <c r="HG136" s="27" t="n"/>
      <c r="HH136" s="27" t="n"/>
      <c r="HI136" s="27" t="n"/>
      <c r="HJ136" s="27" t="n"/>
      <c r="HK136" s="27" t="n"/>
      <c r="HL136" s="27" t="n"/>
      <c r="HM136" s="27" t="n"/>
      <c r="HN136" s="27" t="n"/>
      <c r="HO136" s="27" t="n"/>
      <c r="HP136" s="27" t="n"/>
      <c r="HQ136" s="27" t="n"/>
      <c r="HR136" s="27" t="n"/>
      <c r="HS136" s="27" t="n"/>
      <c r="HT136" s="27" t="n"/>
      <c r="HU136" s="27" t="n"/>
      <c r="HV136" s="27" t="n"/>
      <c r="HW136" s="27" t="n"/>
      <c r="HX136" s="27" t="n"/>
      <c r="HY136" s="27" t="n"/>
      <c r="HZ136" s="27" t="n"/>
      <c r="IA136" s="27" t="n"/>
      <c r="IB136" s="27" t="n"/>
      <c r="IC136" s="27" t="n"/>
      <c r="ID136" s="27" t="n"/>
      <c r="IE136" s="27" t="n"/>
      <c r="IF136" s="27" t="n"/>
      <c r="IG136" s="27" t="n"/>
      <c r="IH136" s="27" t="n"/>
      <c r="II136" s="27" t="n"/>
      <c r="IJ136" s="27" t="n"/>
      <c r="IK136" s="27" t="n"/>
      <c r="IL136" s="27" t="n"/>
      <c r="IM136" s="27" t="n"/>
      <c r="IN136" s="27" t="n"/>
      <c r="IO136" s="27" t="n"/>
      <c r="IP136" s="27" t="n"/>
      <c r="IQ136" s="27" t="n"/>
      <c r="IR136" s="27" t="n"/>
      <c r="IS136" s="27" t="n"/>
      <c r="IT136" s="27" t="n"/>
      <c r="IU136" s="27" t="n"/>
      <c r="IV136" s="27" t="n"/>
    </row>
    <row r="137" ht="13" customHeight="1" s="195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  <c r="AA137" s="27" t="n"/>
      <c r="AB137" s="27" t="n"/>
      <c r="AC137" s="27" t="n"/>
      <c r="AD137" s="27" t="n"/>
      <c r="AE137" s="27" t="n"/>
      <c r="AF137" s="27" t="n"/>
      <c r="AG137" s="27" t="n"/>
      <c r="AH137" s="27" t="n"/>
      <c r="AI137" s="27" t="n"/>
      <c r="AJ137" s="27" t="n"/>
      <c r="AK137" s="27" t="n"/>
      <c r="AL137" s="27" t="n"/>
      <c r="AM137" s="27" t="n"/>
      <c r="AN137" s="27" t="n"/>
      <c r="AO137" s="27" t="n"/>
      <c r="AP137" s="27" t="n"/>
      <c r="AQ137" s="27" t="n"/>
      <c r="AR137" s="27" t="n"/>
      <c r="AS137" s="27" t="n"/>
      <c r="AT137" s="27" t="n"/>
      <c r="AU137" s="27" t="n"/>
      <c r="AV137" s="27" t="n"/>
      <c r="AW137" s="27" t="n"/>
      <c r="AX137" s="27" t="n"/>
      <c r="AY137" s="27" t="n"/>
      <c r="AZ137" s="27" t="n"/>
      <c r="BA137" s="27" t="n"/>
      <c r="BB137" s="27" t="n"/>
      <c r="BC137" s="27" t="n"/>
      <c r="BD137" s="27" t="n"/>
      <c r="BE137" s="27" t="n"/>
      <c r="BF137" s="27" t="n"/>
      <c r="BG137" s="27" t="n"/>
      <c r="BH137" s="27" t="n"/>
      <c r="BI137" s="27" t="n"/>
      <c r="BJ137" s="27" t="n"/>
      <c r="BK137" s="27" t="n"/>
      <c r="BL137" s="27" t="n"/>
      <c r="BM137" s="27" t="n"/>
      <c r="BN137" s="27" t="n"/>
      <c r="BO137" s="27" t="n"/>
      <c r="BP137" s="27" t="n"/>
      <c r="BQ137" s="27" t="n"/>
      <c r="BR137" s="27" t="n"/>
      <c r="BS137" s="27" t="n"/>
      <c r="BT137" s="27" t="n"/>
      <c r="BU137" s="27" t="n"/>
      <c r="BV137" s="27" t="n"/>
      <c r="BW137" s="27" t="n"/>
      <c r="BX137" s="27" t="n"/>
      <c r="BY137" s="27" t="n"/>
      <c r="BZ137" s="27" t="n"/>
      <c r="CA137" s="27" t="n"/>
      <c r="CB137" s="27" t="n"/>
      <c r="CC137" s="27" t="n"/>
      <c r="CD137" s="27" t="n"/>
      <c r="CE137" s="27" t="n"/>
      <c r="CF137" s="27" t="n"/>
      <c r="CG137" s="27" t="n"/>
      <c r="CH137" s="27" t="n"/>
      <c r="CI137" s="27" t="n"/>
      <c r="CJ137" s="27" t="n"/>
      <c r="CK137" s="27" t="n"/>
      <c r="CL137" s="27" t="n"/>
      <c r="CM137" s="27" t="n"/>
      <c r="CN137" s="27" t="n"/>
      <c r="CO137" s="27" t="n"/>
      <c r="CP137" s="27" t="n"/>
      <c r="CQ137" s="27" t="n"/>
      <c r="CR137" s="27" t="n"/>
      <c r="CS137" s="27" t="n"/>
      <c r="CT137" s="27" t="n"/>
      <c r="CU137" s="27" t="n"/>
      <c r="CV137" s="27" t="n"/>
      <c r="CW137" s="27" t="n"/>
      <c r="CX137" s="27" t="n"/>
      <c r="CY137" s="27" t="n"/>
      <c r="CZ137" s="27" t="n"/>
      <c r="DA137" s="27" t="n"/>
      <c r="DB137" s="27" t="n"/>
      <c r="DC137" s="27" t="n"/>
      <c r="DD137" s="27" t="n"/>
      <c r="DE137" s="27" t="n"/>
      <c r="DF137" s="27" t="n"/>
      <c r="DG137" s="27" t="n"/>
      <c r="DH137" s="27" t="n"/>
      <c r="DI137" s="27" t="n"/>
      <c r="DJ137" s="27" t="n"/>
      <c r="DK137" s="27" t="n"/>
      <c r="DL137" s="27" t="n"/>
      <c r="DM137" s="27" t="n"/>
      <c r="DN137" s="27" t="n"/>
      <c r="DO137" s="27" t="n"/>
      <c r="DP137" s="27" t="n"/>
      <c r="DQ137" s="27" t="n"/>
      <c r="DR137" s="27" t="n"/>
      <c r="DS137" s="27" t="n"/>
      <c r="DT137" s="27" t="n"/>
      <c r="DU137" s="27" t="n"/>
      <c r="DV137" s="27" t="n"/>
      <c r="DW137" s="27" t="n"/>
      <c r="DX137" s="27" t="n"/>
      <c r="DY137" s="27" t="n"/>
      <c r="DZ137" s="27" t="n"/>
      <c r="EA137" s="27" t="n"/>
      <c r="EB137" s="27" t="n"/>
      <c r="EC137" s="27" t="n"/>
      <c r="ED137" s="27" t="n"/>
      <c r="EE137" s="27" t="n"/>
      <c r="EF137" s="27" t="n"/>
      <c r="EG137" s="27" t="n"/>
      <c r="EH137" s="27" t="n"/>
      <c r="EI137" s="27" t="n"/>
      <c r="EJ137" s="27" t="n"/>
      <c r="EK137" s="27" t="n"/>
      <c r="EL137" s="27" t="n"/>
      <c r="EM137" s="27" t="n"/>
      <c r="EN137" s="27" t="n"/>
      <c r="EO137" s="27" t="n"/>
      <c r="EP137" s="27" t="n"/>
      <c r="EQ137" s="27" t="n"/>
      <c r="ER137" s="27" t="n"/>
      <c r="ES137" s="27" t="n"/>
      <c r="ET137" s="27" t="n"/>
      <c r="EU137" s="27" t="n"/>
      <c r="EV137" s="27" t="n"/>
      <c r="EW137" s="27" t="n"/>
      <c r="EX137" s="27" t="n"/>
      <c r="EY137" s="27" t="n"/>
      <c r="EZ137" s="27" t="n"/>
      <c r="FA137" s="27" t="n"/>
      <c r="FB137" s="27" t="n"/>
      <c r="FC137" s="27" t="n"/>
      <c r="FD137" s="27" t="n"/>
      <c r="FE137" s="27" t="n"/>
      <c r="FF137" s="27" t="n"/>
      <c r="FG137" s="27" t="n"/>
      <c r="FH137" s="27" t="n"/>
      <c r="FI137" s="27" t="n"/>
      <c r="FJ137" s="27" t="n"/>
      <c r="FK137" s="27" t="n"/>
      <c r="FL137" s="27" t="n"/>
      <c r="FM137" s="27" t="n"/>
      <c r="FN137" s="27" t="n"/>
      <c r="FO137" s="27" t="n"/>
      <c r="FP137" s="27" t="n"/>
      <c r="FQ137" s="27" t="n"/>
      <c r="FR137" s="27" t="n"/>
      <c r="FS137" s="27" t="n"/>
      <c r="FT137" s="27" t="n"/>
      <c r="FU137" s="27" t="n"/>
      <c r="FV137" s="27" t="n"/>
      <c r="FW137" s="27" t="n"/>
      <c r="FX137" s="27" t="n"/>
      <c r="FY137" s="27" t="n"/>
      <c r="FZ137" s="27" t="n"/>
      <c r="GA137" s="27" t="n"/>
      <c r="GB137" s="27" t="n"/>
      <c r="GC137" s="27" t="n"/>
      <c r="GD137" s="27" t="n"/>
      <c r="GE137" s="27" t="n"/>
      <c r="GF137" s="27" t="n"/>
      <c r="GG137" s="27" t="n"/>
      <c r="GH137" s="27" t="n"/>
      <c r="GI137" s="27" t="n"/>
      <c r="GJ137" s="27" t="n"/>
      <c r="GK137" s="27" t="n"/>
      <c r="GL137" s="27" t="n"/>
      <c r="GM137" s="27" t="n"/>
      <c r="GN137" s="27" t="n"/>
      <c r="GO137" s="27" t="n"/>
      <c r="GP137" s="27" t="n"/>
      <c r="GQ137" s="27" t="n"/>
      <c r="GR137" s="27" t="n"/>
      <c r="GS137" s="27" t="n"/>
      <c r="GT137" s="27" t="n"/>
      <c r="GU137" s="27" t="n"/>
      <c r="GV137" s="27" t="n"/>
      <c r="GW137" s="27" t="n"/>
      <c r="GX137" s="27" t="n"/>
      <c r="GY137" s="27" t="n"/>
      <c r="GZ137" s="27" t="n"/>
      <c r="HA137" s="27" t="n"/>
      <c r="HB137" s="27" t="n"/>
      <c r="HC137" s="27" t="n"/>
      <c r="HD137" s="27" t="n"/>
      <c r="HE137" s="27" t="n"/>
      <c r="HF137" s="27" t="n"/>
      <c r="HG137" s="27" t="n"/>
      <c r="HH137" s="27" t="n"/>
      <c r="HI137" s="27" t="n"/>
      <c r="HJ137" s="27" t="n"/>
      <c r="HK137" s="27" t="n"/>
      <c r="HL137" s="27" t="n"/>
      <c r="HM137" s="27" t="n"/>
      <c r="HN137" s="27" t="n"/>
      <c r="HO137" s="27" t="n"/>
      <c r="HP137" s="27" t="n"/>
      <c r="HQ137" s="27" t="n"/>
      <c r="HR137" s="27" t="n"/>
      <c r="HS137" s="27" t="n"/>
      <c r="HT137" s="27" t="n"/>
      <c r="HU137" s="27" t="n"/>
      <c r="HV137" s="27" t="n"/>
      <c r="HW137" s="27" t="n"/>
      <c r="HX137" s="27" t="n"/>
      <c r="HY137" s="27" t="n"/>
      <c r="HZ137" s="27" t="n"/>
      <c r="IA137" s="27" t="n"/>
      <c r="IB137" s="27" t="n"/>
      <c r="IC137" s="27" t="n"/>
      <c r="ID137" s="27" t="n"/>
      <c r="IE137" s="27" t="n"/>
      <c r="IF137" s="27" t="n"/>
      <c r="IG137" s="27" t="n"/>
      <c r="IH137" s="27" t="n"/>
      <c r="II137" s="27" t="n"/>
      <c r="IJ137" s="27" t="n"/>
      <c r="IK137" s="27" t="n"/>
      <c r="IL137" s="27" t="n"/>
      <c r="IM137" s="27" t="n"/>
      <c r="IN137" s="27" t="n"/>
      <c r="IO137" s="27" t="n"/>
      <c r="IP137" s="27" t="n"/>
      <c r="IQ137" s="27" t="n"/>
      <c r="IR137" s="27" t="n"/>
      <c r="IS137" s="27" t="n"/>
      <c r="IT137" s="27" t="n"/>
      <c r="IU137" s="27" t="n"/>
      <c r="IV137" s="27" t="n"/>
    </row>
    <row r="138" ht="13" customHeight="1" s="195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  <c r="AA138" s="27" t="n"/>
      <c r="AB138" s="27" t="n"/>
      <c r="AC138" s="27" t="n"/>
      <c r="AD138" s="27" t="n"/>
      <c r="AE138" s="27" t="n"/>
      <c r="AF138" s="27" t="n"/>
      <c r="AG138" s="27" t="n"/>
      <c r="AH138" s="27" t="n"/>
      <c r="AI138" s="27" t="n"/>
      <c r="AJ138" s="27" t="n"/>
      <c r="AK138" s="27" t="n"/>
      <c r="AL138" s="27" t="n"/>
      <c r="AM138" s="27" t="n"/>
      <c r="AN138" s="27" t="n"/>
      <c r="AO138" s="27" t="n"/>
      <c r="AP138" s="27" t="n"/>
      <c r="AQ138" s="27" t="n"/>
      <c r="AR138" s="27" t="n"/>
      <c r="AS138" s="27" t="n"/>
      <c r="AT138" s="27" t="n"/>
      <c r="AU138" s="27" t="n"/>
      <c r="AV138" s="27" t="n"/>
      <c r="AW138" s="27" t="n"/>
      <c r="AX138" s="27" t="n"/>
      <c r="AY138" s="27" t="n"/>
      <c r="AZ138" s="27" t="n"/>
      <c r="BA138" s="27" t="n"/>
      <c r="BB138" s="27" t="n"/>
      <c r="BC138" s="27" t="n"/>
      <c r="BD138" s="27" t="n"/>
      <c r="BE138" s="27" t="n"/>
      <c r="BF138" s="27" t="n"/>
      <c r="BG138" s="27" t="n"/>
      <c r="BH138" s="27" t="n"/>
      <c r="BI138" s="27" t="n"/>
      <c r="BJ138" s="27" t="n"/>
      <c r="BK138" s="27" t="n"/>
      <c r="BL138" s="27" t="n"/>
      <c r="BM138" s="27" t="n"/>
      <c r="BN138" s="27" t="n"/>
      <c r="BO138" s="27" t="n"/>
      <c r="BP138" s="27" t="n"/>
      <c r="BQ138" s="27" t="n"/>
      <c r="BR138" s="27" t="n"/>
      <c r="BS138" s="27" t="n"/>
      <c r="BT138" s="27" t="n"/>
      <c r="BU138" s="27" t="n"/>
      <c r="BV138" s="27" t="n"/>
      <c r="BW138" s="27" t="n"/>
      <c r="BX138" s="27" t="n"/>
      <c r="BY138" s="27" t="n"/>
      <c r="BZ138" s="27" t="n"/>
      <c r="CA138" s="27" t="n"/>
      <c r="CB138" s="27" t="n"/>
      <c r="CC138" s="27" t="n"/>
      <c r="CD138" s="27" t="n"/>
      <c r="CE138" s="27" t="n"/>
      <c r="CF138" s="27" t="n"/>
      <c r="CG138" s="27" t="n"/>
      <c r="CH138" s="27" t="n"/>
      <c r="CI138" s="27" t="n"/>
      <c r="CJ138" s="27" t="n"/>
      <c r="CK138" s="27" t="n"/>
      <c r="CL138" s="27" t="n"/>
      <c r="CM138" s="27" t="n"/>
      <c r="CN138" s="27" t="n"/>
      <c r="CO138" s="27" t="n"/>
      <c r="CP138" s="27" t="n"/>
      <c r="CQ138" s="27" t="n"/>
      <c r="CR138" s="27" t="n"/>
      <c r="CS138" s="27" t="n"/>
      <c r="CT138" s="27" t="n"/>
      <c r="CU138" s="27" t="n"/>
      <c r="CV138" s="27" t="n"/>
      <c r="CW138" s="27" t="n"/>
      <c r="CX138" s="27" t="n"/>
      <c r="CY138" s="27" t="n"/>
      <c r="CZ138" s="27" t="n"/>
      <c r="DA138" s="27" t="n"/>
      <c r="DB138" s="27" t="n"/>
      <c r="DC138" s="27" t="n"/>
      <c r="DD138" s="27" t="n"/>
      <c r="DE138" s="27" t="n"/>
      <c r="DF138" s="27" t="n"/>
      <c r="DG138" s="27" t="n"/>
      <c r="DH138" s="27" t="n"/>
      <c r="DI138" s="27" t="n"/>
      <c r="DJ138" s="27" t="n"/>
      <c r="DK138" s="27" t="n"/>
      <c r="DL138" s="27" t="n"/>
      <c r="DM138" s="27" t="n"/>
      <c r="DN138" s="27" t="n"/>
      <c r="DO138" s="27" t="n"/>
      <c r="DP138" s="27" t="n"/>
      <c r="DQ138" s="27" t="n"/>
      <c r="DR138" s="27" t="n"/>
      <c r="DS138" s="27" t="n"/>
      <c r="DT138" s="27" t="n"/>
      <c r="DU138" s="27" t="n"/>
      <c r="DV138" s="27" t="n"/>
      <c r="DW138" s="27" t="n"/>
      <c r="DX138" s="27" t="n"/>
      <c r="DY138" s="27" t="n"/>
      <c r="DZ138" s="27" t="n"/>
      <c r="EA138" s="27" t="n"/>
      <c r="EB138" s="27" t="n"/>
      <c r="EC138" s="27" t="n"/>
      <c r="ED138" s="27" t="n"/>
      <c r="EE138" s="27" t="n"/>
      <c r="EF138" s="27" t="n"/>
      <c r="EG138" s="27" t="n"/>
      <c r="EH138" s="27" t="n"/>
      <c r="EI138" s="27" t="n"/>
      <c r="EJ138" s="27" t="n"/>
      <c r="EK138" s="27" t="n"/>
      <c r="EL138" s="27" t="n"/>
      <c r="EM138" s="27" t="n"/>
      <c r="EN138" s="27" t="n"/>
      <c r="EO138" s="27" t="n"/>
      <c r="EP138" s="27" t="n"/>
      <c r="EQ138" s="27" t="n"/>
      <c r="ER138" s="27" t="n"/>
      <c r="ES138" s="27" t="n"/>
      <c r="ET138" s="27" t="n"/>
      <c r="EU138" s="27" t="n"/>
      <c r="EV138" s="27" t="n"/>
      <c r="EW138" s="27" t="n"/>
      <c r="EX138" s="27" t="n"/>
      <c r="EY138" s="27" t="n"/>
      <c r="EZ138" s="27" t="n"/>
      <c r="FA138" s="27" t="n"/>
      <c r="FB138" s="27" t="n"/>
      <c r="FC138" s="27" t="n"/>
      <c r="FD138" s="27" t="n"/>
      <c r="FE138" s="27" t="n"/>
      <c r="FF138" s="27" t="n"/>
      <c r="FG138" s="27" t="n"/>
      <c r="FH138" s="27" t="n"/>
      <c r="FI138" s="27" t="n"/>
      <c r="FJ138" s="27" t="n"/>
      <c r="FK138" s="27" t="n"/>
      <c r="FL138" s="27" t="n"/>
      <c r="FM138" s="27" t="n"/>
      <c r="FN138" s="27" t="n"/>
      <c r="FO138" s="27" t="n"/>
      <c r="FP138" s="27" t="n"/>
      <c r="FQ138" s="27" t="n"/>
      <c r="FR138" s="27" t="n"/>
      <c r="FS138" s="27" t="n"/>
      <c r="FT138" s="27" t="n"/>
      <c r="FU138" s="27" t="n"/>
      <c r="FV138" s="27" t="n"/>
      <c r="FW138" s="27" t="n"/>
      <c r="FX138" s="27" t="n"/>
      <c r="FY138" s="27" t="n"/>
      <c r="FZ138" s="27" t="n"/>
      <c r="GA138" s="27" t="n"/>
      <c r="GB138" s="27" t="n"/>
      <c r="GC138" s="27" t="n"/>
      <c r="GD138" s="27" t="n"/>
      <c r="GE138" s="27" t="n"/>
      <c r="GF138" s="27" t="n"/>
      <c r="GG138" s="27" t="n"/>
      <c r="GH138" s="27" t="n"/>
      <c r="GI138" s="27" t="n"/>
      <c r="GJ138" s="27" t="n"/>
      <c r="GK138" s="27" t="n"/>
      <c r="GL138" s="27" t="n"/>
      <c r="GM138" s="27" t="n"/>
      <c r="GN138" s="27" t="n"/>
      <c r="GO138" s="27" t="n"/>
      <c r="GP138" s="27" t="n"/>
      <c r="GQ138" s="27" t="n"/>
      <c r="GR138" s="27" t="n"/>
      <c r="GS138" s="27" t="n"/>
      <c r="GT138" s="27" t="n"/>
      <c r="GU138" s="27" t="n"/>
      <c r="GV138" s="27" t="n"/>
      <c r="GW138" s="27" t="n"/>
      <c r="GX138" s="27" t="n"/>
      <c r="GY138" s="27" t="n"/>
      <c r="GZ138" s="27" t="n"/>
      <c r="HA138" s="27" t="n"/>
      <c r="HB138" s="27" t="n"/>
      <c r="HC138" s="27" t="n"/>
      <c r="HD138" s="27" t="n"/>
      <c r="HE138" s="27" t="n"/>
      <c r="HF138" s="27" t="n"/>
      <c r="HG138" s="27" t="n"/>
      <c r="HH138" s="27" t="n"/>
      <c r="HI138" s="27" t="n"/>
      <c r="HJ138" s="27" t="n"/>
      <c r="HK138" s="27" t="n"/>
      <c r="HL138" s="27" t="n"/>
      <c r="HM138" s="27" t="n"/>
      <c r="HN138" s="27" t="n"/>
      <c r="HO138" s="27" t="n"/>
      <c r="HP138" s="27" t="n"/>
      <c r="HQ138" s="27" t="n"/>
      <c r="HR138" s="27" t="n"/>
      <c r="HS138" s="27" t="n"/>
      <c r="HT138" s="27" t="n"/>
      <c r="HU138" s="27" t="n"/>
      <c r="HV138" s="27" t="n"/>
      <c r="HW138" s="27" t="n"/>
      <c r="HX138" s="27" t="n"/>
      <c r="HY138" s="27" t="n"/>
      <c r="HZ138" s="27" t="n"/>
      <c r="IA138" s="27" t="n"/>
      <c r="IB138" s="27" t="n"/>
      <c r="IC138" s="27" t="n"/>
      <c r="ID138" s="27" t="n"/>
      <c r="IE138" s="27" t="n"/>
      <c r="IF138" s="27" t="n"/>
      <c r="IG138" s="27" t="n"/>
      <c r="IH138" s="27" t="n"/>
      <c r="II138" s="27" t="n"/>
      <c r="IJ138" s="27" t="n"/>
      <c r="IK138" s="27" t="n"/>
      <c r="IL138" s="27" t="n"/>
      <c r="IM138" s="27" t="n"/>
      <c r="IN138" s="27" t="n"/>
      <c r="IO138" s="27" t="n"/>
      <c r="IP138" s="27" t="n"/>
      <c r="IQ138" s="27" t="n"/>
      <c r="IR138" s="27" t="n"/>
      <c r="IS138" s="27" t="n"/>
      <c r="IT138" s="27" t="n"/>
      <c r="IU138" s="27" t="n"/>
      <c r="IV138" s="27" t="n"/>
    </row>
    <row r="139" ht="13" customHeight="1" s="195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  <c r="AA139" s="27" t="n"/>
      <c r="AB139" s="27" t="n"/>
      <c r="AC139" s="27" t="n"/>
      <c r="AD139" s="27" t="n"/>
      <c r="AE139" s="27" t="n"/>
      <c r="AF139" s="27" t="n"/>
      <c r="AG139" s="27" t="n"/>
      <c r="AH139" s="27" t="n"/>
      <c r="AI139" s="27" t="n"/>
      <c r="AJ139" s="27" t="n"/>
      <c r="AK139" s="27" t="n"/>
      <c r="AL139" s="27" t="n"/>
      <c r="AM139" s="27" t="n"/>
      <c r="AN139" s="27" t="n"/>
      <c r="AO139" s="27" t="n"/>
      <c r="AP139" s="27" t="n"/>
      <c r="AQ139" s="27" t="n"/>
      <c r="AR139" s="27" t="n"/>
      <c r="AS139" s="27" t="n"/>
      <c r="AT139" s="27" t="n"/>
      <c r="AU139" s="27" t="n"/>
      <c r="AV139" s="27" t="n"/>
      <c r="AW139" s="27" t="n"/>
      <c r="AX139" s="27" t="n"/>
      <c r="AY139" s="27" t="n"/>
      <c r="AZ139" s="27" t="n"/>
      <c r="BA139" s="27" t="n"/>
      <c r="BB139" s="27" t="n"/>
      <c r="BC139" s="27" t="n"/>
      <c r="BD139" s="27" t="n"/>
      <c r="BE139" s="27" t="n"/>
      <c r="BF139" s="27" t="n"/>
      <c r="BG139" s="27" t="n"/>
      <c r="BH139" s="27" t="n"/>
      <c r="BI139" s="27" t="n"/>
      <c r="BJ139" s="27" t="n"/>
      <c r="BK139" s="27" t="n"/>
      <c r="BL139" s="27" t="n"/>
      <c r="BM139" s="27" t="n"/>
      <c r="BN139" s="27" t="n"/>
      <c r="BO139" s="27" t="n"/>
      <c r="BP139" s="27" t="n"/>
      <c r="BQ139" s="27" t="n"/>
      <c r="BR139" s="27" t="n"/>
      <c r="BS139" s="27" t="n"/>
      <c r="BT139" s="27" t="n"/>
      <c r="BU139" s="27" t="n"/>
      <c r="BV139" s="27" t="n"/>
      <c r="BW139" s="27" t="n"/>
      <c r="BX139" s="27" t="n"/>
      <c r="BY139" s="27" t="n"/>
      <c r="BZ139" s="27" t="n"/>
      <c r="CA139" s="27" t="n"/>
      <c r="CB139" s="27" t="n"/>
      <c r="CC139" s="27" t="n"/>
      <c r="CD139" s="27" t="n"/>
      <c r="CE139" s="27" t="n"/>
      <c r="CF139" s="27" t="n"/>
      <c r="CG139" s="27" t="n"/>
      <c r="CH139" s="27" t="n"/>
      <c r="CI139" s="27" t="n"/>
      <c r="CJ139" s="27" t="n"/>
      <c r="CK139" s="27" t="n"/>
      <c r="CL139" s="27" t="n"/>
      <c r="CM139" s="27" t="n"/>
      <c r="CN139" s="27" t="n"/>
      <c r="CO139" s="27" t="n"/>
      <c r="CP139" s="27" t="n"/>
      <c r="CQ139" s="27" t="n"/>
      <c r="CR139" s="27" t="n"/>
      <c r="CS139" s="27" t="n"/>
      <c r="CT139" s="27" t="n"/>
      <c r="CU139" s="27" t="n"/>
      <c r="CV139" s="27" t="n"/>
      <c r="CW139" s="27" t="n"/>
      <c r="CX139" s="27" t="n"/>
      <c r="CY139" s="27" t="n"/>
      <c r="CZ139" s="27" t="n"/>
      <c r="DA139" s="27" t="n"/>
      <c r="DB139" s="27" t="n"/>
      <c r="DC139" s="27" t="n"/>
      <c r="DD139" s="27" t="n"/>
      <c r="DE139" s="27" t="n"/>
      <c r="DF139" s="27" t="n"/>
      <c r="DG139" s="27" t="n"/>
      <c r="DH139" s="27" t="n"/>
      <c r="DI139" s="27" t="n"/>
      <c r="DJ139" s="27" t="n"/>
      <c r="DK139" s="27" t="n"/>
      <c r="DL139" s="27" t="n"/>
      <c r="DM139" s="27" t="n"/>
      <c r="DN139" s="27" t="n"/>
      <c r="DO139" s="27" t="n"/>
      <c r="DP139" s="27" t="n"/>
      <c r="DQ139" s="27" t="n"/>
      <c r="DR139" s="27" t="n"/>
      <c r="DS139" s="27" t="n"/>
      <c r="DT139" s="27" t="n"/>
      <c r="DU139" s="27" t="n"/>
      <c r="DV139" s="27" t="n"/>
      <c r="DW139" s="27" t="n"/>
      <c r="DX139" s="27" t="n"/>
      <c r="DY139" s="27" t="n"/>
      <c r="DZ139" s="27" t="n"/>
      <c r="EA139" s="27" t="n"/>
      <c r="EB139" s="27" t="n"/>
      <c r="EC139" s="27" t="n"/>
      <c r="ED139" s="27" t="n"/>
      <c r="EE139" s="27" t="n"/>
      <c r="EF139" s="27" t="n"/>
      <c r="EG139" s="27" t="n"/>
      <c r="EH139" s="27" t="n"/>
      <c r="EI139" s="27" t="n"/>
      <c r="EJ139" s="27" t="n"/>
      <c r="EK139" s="27" t="n"/>
      <c r="EL139" s="27" t="n"/>
      <c r="EM139" s="27" t="n"/>
      <c r="EN139" s="27" t="n"/>
      <c r="EO139" s="27" t="n"/>
      <c r="EP139" s="27" t="n"/>
      <c r="EQ139" s="27" t="n"/>
      <c r="ER139" s="27" t="n"/>
      <c r="ES139" s="27" t="n"/>
      <c r="ET139" s="27" t="n"/>
      <c r="EU139" s="27" t="n"/>
      <c r="EV139" s="27" t="n"/>
      <c r="EW139" s="27" t="n"/>
      <c r="EX139" s="27" t="n"/>
      <c r="EY139" s="27" t="n"/>
      <c r="EZ139" s="27" t="n"/>
      <c r="FA139" s="27" t="n"/>
      <c r="FB139" s="27" t="n"/>
      <c r="FC139" s="27" t="n"/>
      <c r="FD139" s="27" t="n"/>
      <c r="FE139" s="27" t="n"/>
      <c r="FF139" s="27" t="n"/>
      <c r="FG139" s="27" t="n"/>
      <c r="FH139" s="27" t="n"/>
      <c r="FI139" s="27" t="n"/>
      <c r="FJ139" s="27" t="n"/>
      <c r="FK139" s="27" t="n"/>
      <c r="FL139" s="27" t="n"/>
      <c r="FM139" s="27" t="n"/>
      <c r="FN139" s="27" t="n"/>
      <c r="FO139" s="27" t="n"/>
      <c r="FP139" s="27" t="n"/>
      <c r="FQ139" s="27" t="n"/>
      <c r="FR139" s="27" t="n"/>
      <c r="FS139" s="27" t="n"/>
      <c r="FT139" s="27" t="n"/>
      <c r="FU139" s="27" t="n"/>
      <c r="FV139" s="27" t="n"/>
      <c r="FW139" s="27" t="n"/>
      <c r="FX139" s="27" t="n"/>
      <c r="FY139" s="27" t="n"/>
      <c r="FZ139" s="27" t="n"/>
      <c r="GA139" s="27" t="n"/>
      <c r="GB139" s="27" t="n"/>
      <c r="GC139" s="27" t="n"/>
      <c r="GD139" s="27" t="n"/>
      <c r="GE139" s="27" t="n"/>
      <c r="GF139" s="27" t="n"/>
      <c r="GG139" s="27" t="n"/>
      <c r="GH139" s="27" t="n"/>
      <c r="GI139" s="27" t="n"/>
      <c r="GJ139" s="27" t="n"/>
      <c r="GK139" s="27" t="n"/>
      <c r="GL139" s="27" t="n"/>
      <c r="GM139" s="27" t="n"/>
      <c r="GN139" s="27" t="n"/>
      <c r="GO139" s="27" t="n"/>
      <c r="GP139" s="27" t="n"/>
      <c r="GQ139" s="27" t="n"/>
      <c r="GR139" s="27" t="n"/>
      <c r="GS139" s="27" t="n"/>
      <c r="GT139" s="27" t="n"/>
      <c r="GU139" s="27" t="n"/>
      <c r="GV139" s="27" t="n"/>
      <c r="GW139" s="27" t="n"/>
      <c r="GX139" s="27" t="n"/>
      <c r="GY139" s="27" t="n"/>
      <c r="GZ139" s="27" t="n"/>
      <c r="HA139" s="27" t="n"/>
      <c r="HB139" s="27" t="n"/>
      <c r="HC139" s="27" t="n"/>
      <c r="HD139" s="27" t="n"/>
      <c r="HE139" s="27" t="n"/>
      <c r="HF139" s="27" t="n"/>
      <c r="HG139" s="27" t="n"/>
      <c r="HH139" s="27" t="n"/>
      <c r="HI139" s="27" t="n"/>
      <c r="HJ139" s="27" t="n"/>
      <c r="HK139" s="27" t="n"/>
      <c r="HL139" s="27" t="n"/>
      <c r="HM139" s="27" t="n"/>
      <c r="HN139" s="27" t="n"/>
      <c r="HO139" s="27" t="n"/>
      <c r="HP139" s="27" t="n"/>
      <c r="HQ139" s="27" t="n"/>
      <c r="HR139" s="27" t="n"/>
      <c r="HS139" s="27" t="n"/>
      <c r="HT139" s="27" t="n"/>
      <c r="HU139" s="27" t="n"/>
      <c r="HV139" s="27" t="n"/>
      <c r="HW139" s="27" t="n"/>
      <c r="HX139" s="27" t="n"/>
      <c r="HY139" s="27" t="n"/>
      <c r="HZ139" s="27" t="n"/>
      <c r="IA139" s="27" t="n"/>
      <c r="IB139" s="27" t="n"/>
      <c r="IC139" s="27" t="n"/>
      <c r="ID139" s="27" t="n"/>
      <c r="IE139" s="27" t="n"/>
      <c r="IF139" s="27" t="n"/>
      <c r="IG139" s="27" t="n"/>
      <c r="IH139" s="27" t="n"/>
      <c r="II139" s="27" t="n"/>
      <c r="IJ139" s="27" t="n"/>
      <c r="IK139" s="27" t="n"/>
      <c r="IL139" s="27" t="n"/>
      <c r="IM139" s="27" t="n"/>
      <c r="IN139" s="27" t="n"/>
      <c r="IO139" s="27" t="n"/>
      <c r="IP139" s="27" t="n"/>
      <c r="IQ139" s="27" t="n"/>
      <c r="IR139" s="27" t="n"/>
      <c r="IS139" s="27" t="n"/>
      <c r="IT139" s="27" t="n"/>
      <c r="IU139" s="27" t="n"/>
      <c r="IV139" s="27" t="n"/>
    </row>
    <row r="140" ht="13" customHeight="1" s="195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  <c r="AA140" s="27" t="n"/>
      <c r="AB140" s="27" t="n"/>
      <c r="AC140" s="27" t="n"/>
      <c r="AD140" s="27" t="n"/>
      <c r="AE140" s="27" t="n"/>
      <c r="AF140" s="27" t="n"/>
      <c r="AG140" s="27" t="n"/>
      <c r="AH140" s="27" t="n"/>
      <c r="AI140" s="27" t="n"/>
      <c r="AJ140" s="27" t="n"/>
      <c r="AK140" s="27" t="n"/>
      <c r="AL140" s="27" t="n"/>
      <c r="AM140" s="27" t="n"/>
      <c r="AN140" s="27" t="n"/>
      <c r="AO140" s="27" t="n"/>
      <c r="AP140" s="27" t="n"/>
      <c r="AQ140" s="27" t="n"/>
      <c r="AR140" s="27" t="n"/>
      <c r="AS140" s="27" t="n"/>
      <c r="AT140" s="27" t="n"/>
      <c r="AU140" s="27" t="n"/>
      <c r="AV140" s="27" t="n"/>
      <c r="AW140" s="27" t="n"/>
      <c r="AX140" s="27" t="n"/>
      <c r="AY140" s="27" t="n"/>
      <c r="AZ140" s="27" t="n"/>
      <c r="BA140" s="27" t="n"/>
      <c r="BB140" s="27" t="n"/>
      <c r="BC140" s="27" t="n"/>
      <c r="BD140" s="27" t="n"/>
      <c r="BE140" s="27" t="n"/>
      <c r="BF140" s="27" t="n"/>
      <c r="BG140" s="27" t="n"/>
      <c r="BH140" s="27" t="n"/>
      <c r="BI140" s="27" t="n"/>
      <c r="BJ140" s="27" t="n"/>
      <c r="BK140" s="27" t="n"/>
      <c r="BL140" s="27" t="n"/>
      <c r="BM140" s="27" t="n"/>
      <c r="BN140" s="27" t="n"/>
      <c r="BO140" s="27" t="n"/>
      <c r="BP140" s="27" t="n"/>
      <c r="BQ140" s="27" t="n"/>
      <c r="BR140" s="27" t="n"/>
      <c r="BS140" s="27" t="n"/>
      <c r="BT140" s="27" t="n"/>
      <c r="BU140" s="27" t="n"/>
      <c r="BV140" s="27" t="n"/>
      <c r="BW140" s="27" t="n"/>
      <c r="BX140" s="27" t="n"/>
      <c r="BY140" s="27" t="n"/>
      <c r="BZ140" s="27" t="n"/>
      <c r="CA140" s="27" t="n"/>
      <c r="CB140" s="27" t="n"/>
      <c r="CC140" s="27" t="n"/>
      <c r="CD140" s="27" t="n"/>
      <c r="CE140" s="27" t="n"/>
      <c r="CF140" s="27" t="n"/>
      <c r="CG140" s="27" t="n"/>
      <c r="CH140" s="27" t="n"/>
      <c r="CI140" s="27" t="n"/>
      <c r="CJ140" s="27" t="n"/>
      <c r="CK140" s="27" t="n"/>
      <c r="CL140" s="27" t="n"/>
      <c r="CM140" s="27" t="n"/>
      <c r="CN140" s="27" t="n"/>
      <c r="CO140" s="27" t="n"/>
      <c r="CP140" s="27" t="n"/>
      <c r="CQ140" s="27" t="n"/>
      <c r="CR140" s="27" t="n"/>
      <c r="CS140" s="27" t="n"/>
      <c r="CT140" s="27" t="n"/>
      <c r="CU140" s="27" t="n"/>
      <c r="CV140" s="27" t="n"/>
      <c r="CW140" s="27" t="n"/>
      <c r="CX140" s="27" t="n"/>
      <c r="CY140" s="27" t="n"/>
      <c r="CZ140" s="27" t="n"/>
      <c r="DA140" s="27" t="n"/>
      <c r="DB140" s="27" t="n"/>
      <c r="DC140" s="27" t="n"/>
      <c r="DD140" s="27" t="n"/>
      <c r="DE140" s="27" t="n"/>
      <c r="DF140" s="27" t="n"/>
      <c r="DG140" s="27" t="n"/>
      <c r="DH140" s="27" t="n"/>
      <c r="DI140" s="27" t="n"/>
      <c r="DJ140" s="27" t="n"/>
      <c r="DK140" s="27" t="n"/>
      <c r="DL140" s="27" t="n"/>
      <c r="DM140" s="27" t="n"/>
      <c r="DN140" s="27" t="n"/>
      <c r="DO140" s="27" t="n"/>
      <c r="DP140" s="27" t="n"/>
      <c r="DQ140" s="27" t="n"/>
      <c r="DR140" s="27" t="n"/>
      <c r="DS140" s="27" t="n"/>
      <c r="DT140" s="27" t="n"/>
      <c r="DU140" s="27" t="n"/>
      <c r="DV140" s="27" t="n"/>
      <c r="DW140" s="27" t="n"/>
      <c r="DX140" s="27" t="n"/>
      <c r="DY140" s="27" t="n"/>
      <c r="DZ140" s="27" t="n"/>
      <c r="EA140" s="27" t="n"/>
      <c r="EB140" s="27" t="n"/>
      <c r="EC140" s="27" t="n"/>
      <c r="ED140" s="27" t="n"/>
      <c r="EE140" s="27" t="n"/>
      <c r="EF140" s="27" t="n"/>
      <c r="EG140" s="27" t="n"/>
      <c r="EH140" s="27" t="n"/>
      <c r="EI140" s="27" t="n"/>
      <c r="EJ140" s="27" t="n"/>
      <c r="EK140" s="27" t="n"/>
      <c r="EL140" s="27" t="n"/>
      <c r="EM140" s="27" t="n"/>
      <c r="EN140" s="27" t="n"/>
      <c r="EO140" s="27" t="n"/>
      <c r="EP140" s="27" t="n"/>
      <c r="EQ140" s="27" t="n"/>
      <c r="ER140" s="27" t="n"/>
      <c r="ES140" s="27" t="n"/>
      <c r="ET140" s="27" t="n"/>
      <c r="EU140" s="27" t="n"/>
      <c r="EV140" s="27" t="n"/>
      <c r="EW140" s="27" t="n"/>
      <c r="EX140" s="27" t="n"/>
      <c r="EY140" s="27" t="n"/>
      <c r="EZ140" s="27" t="n"/>
      <c r="FA140" s="27" t="n"/>
      <c r="FB140" s="27" t="n"/>
      <c r="FC140" s="27" t="n"/>
      <c r="FD140" s="27" t="n"/>
      <c r="FE140" s="27" t="n"/>
      <c r="FF140" s="27" t="n"/>
      <c r="FG140" s="27" t="n"/>
      <c r="FH140" s="27" t="n"/>
      <c r="FI140" s="27" t="n"/>
      <c r="FJ140" s="27" t="n"/>
      <c r="FK140" s="27" t="n"/>
      <c r="FL140" s="27" t="n"/>
      <c r="FM140" s="27" t="n"/>
      <c r="FN140" s="27" t="n"/>
      <c r="FO140" s="27" t="n"/>
      <c r="FP140" s="27" t="n"/>
      <c r="FQ140" s="27" t="n"/>
      <c r="FR140" s="27" t="n"/>
      <c r="FS140" s="27" t="n"/>
      <c r="FT140" s="27" t="n"/>
      <c r="FU140" s="27" t="n"/>
      <c r="FV140" s="27" t="n"/>
      <c r="FW140" s="27" t="n"/>
      <c r="FX140" s="27" t="n"/>
      <c r="FY140" s="27" t="n"/>
      <c r="FZ140" s="27" t="n"/>
      <c r="GA140" s="27" t="n"/>
      <c r="GB140" s="27" t="n"/>
      <c r="GC140" s="27" t="n"/>
      <c r="GD140" s="27" t="n"/>
      <c r="GE140" s="27" t="n"/>
      <c r="GF140" s="27" t="n"/>
      <c r="GG140" s="27" t="n"/>
      <c r="GH140" s="27" t="n"/>
      <c r="GI140" s="27" t="n"/>
      <c r="GJ140" s="27" t="n"/>
      <c r="GK140" s="27" t="n"/>
      <c r="GL140" s="27" t="n"/>
      <c r="GM140" s="27" t="n"/>
      <c r="GN140" s="27" t="n"/>
      <c r="GO140" s="27" t="n"/>
      <c r="GP140" s="27" t="n"/>
      <c r="GQ140" s="27" t="n"/>
      <c r="GR140" s="27" t="n"/>
      <c r="GS140" s="27" t="n"/>
      <c r="GT140" s="27" t="n"/>
      <c r="GU140" s="27" t="n"/>
      <c r="GV140" s="27" t="n"/>
      <c r="GW140" s="27" t="n"/>
      <c r="GX140" s="27" t="n"/>
      <c r="GY140" s="27" t="n"/>
      <c r="GZ140" s="27" t="n"/>
      <c r="HA140" s="27" t="n"/>
      <c r="HB140" s="27" t="n"/>
      <c r="HC140" s="27" t="n"/>
      <c r="HD140" s="27" t="n"/>
      <c r="HE140" s="27" t="n"/>
      <c r="HF140" s="27" t="n"/>
      <c r="HG140" s="27" t="n"/>
      <c r="HH140" s="27" t="n"/>
      <c r="HI140" s="27" t="n"/>
      <c r="HJ140" s="27" t="n"/>
      <c r="HK140" s="27" t="n"/>
      <c r="HL140" s="27" t="n"/>
      <c r="HM140" s="27" t="n"/>
      <c r="HN140" s="27" t="n"/>
      <c r="HO140" s="27" t="n"/>
      <c r="HP140" s="27" t="n"/>
      <c r="HQ140" s="27" t="n"/>
      <c r="HR140" s="27" t="n"/>
      <c r="HS140" s="27" t="n"/>
      <c r="HT140" s="27" t="n"/>
      <c r="HU140" s="27" t="n"/>
      <c r="HV140" s="27" t="n"/>
      <c r="HW140" s="27" t="n"/>
      <c r="HX140" s="27" t="n"/>
      <c r="HY140" s="27" t="n"/>
      <c r="HZ140" s="27" t="n"/>
      <c r="IA140" s="27" t="n"/>
      <c r="IB140" s="27" t="n"/>
      <c r="IC140" s="27" t="n"/>
      <c r="ID140" s="27" t="n"/>
      <c r="IE140" s="27" t="n"/>
      <c r="IF140" s="27" t="n"/>
      <c r="IG140" s="27" t="n"/>
      <c r="IH140" s="27" t="n"/>
      <c r="II140" s="27" t="n"/>
      <c r="IJ140" s="27" t="n"/>
      <c r="IK140" s="27" t="n"/>
      <c r="IL140" s="27" t="n"/>
      <c r="IM140" s="27" t="n"/>
      <c r="IN140" s="27" t="n"/>
      <c r="IO140" s="27" t="n"/>
      <c r="IP140" s="27" t="n"/>
      <c r="IQ140" s="27" t="n"/>
      <c r="IR140" s="27" t="n"/>
      <c r="IS140" s="27" t="n"/>
      <c r="IT140" s="27" t="n"/>
      <c r="IU140" s="27" t="n"/>
      <c r="IV140" s="27" t="n"/>
    </row>
    <row r="141" ht="13" customHeight="1" s="195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  <c r="AA141" s="27" t="n"/>
      <c r="AB141" s="27" t="n"/>
      <c r="AC141" s="27" t="n"/>
      <c r="AD141" s="27" t="n"/>
      <c r="AE141" s="27" t="n"/>
      <c r="AF141" s="27" t="n"/>
      <c r="AG141" s="27" t="n"/>
      <c r="AH141" s="27" t="n"/>
      <c r="AI141" s="27" t="n"/>
      <c r="AJ141" s="27" t="n"/>
      <c r="AK141" s="27" t="n"/>
      <c r="AL141" s="27" t="n"/>
      <c r="AM141" s="27" t="n"/>
      <c r="AN141" s="27" t="n"/>
      <c r="AO141" s="27" t="n"/>
      <c r="AP141" s="27" t="n"/>
      <c r="AQ141" s="27" t="n"/>
      <c r="AR141" s="27" t="n"/>
      <c r="AS141" s="27" t="n"/>
      <c r="AT141" s="27" t="n"/>
      <c r="AU141" s="27" t="n"/>
      <c r="AV141" s="27" t="n"/>
      <c r="AW141" s="27" t="n"/>
      <c r="AX141" s="27" t="n"/>
      <c r="AY141" s="27" t="n"/>
      <c r="AZ141" s="27" t="n"/>
      <c r="BA141" s="27" t="n"/>
      <c r="BB141" s="27" t="n"/>
      <c r="BC141" s="27" t="n"/>
      <c r="BD141" s="27" t="n"/>
      <c r="BE141" s="27" t="n"/>
      <c r="BF141" s="27" t="n"/>
      <c r="BG141" s="27" t="n"/>
      <c r="BH141" s="27" t="n"/>
      <c r="BI141" s="27" t="n"/>
      <c r="BJ141" s="27" t="n"/>
      <c r="BK141" s="27" t="n"/>
      <c r="BL141" s="27" t="n"/>
      <c r="BM141" s="27" t="n"/>
      <c r="BN141" s="27" t="n"/>
      <c r="BO141" s="27" t="n"/>
      <c r="BP141" s="27" t="n"/>
      <c r="BQ141" s="27" t="n"/>
      <c r="BR141" s="27" t="n"/>
      <c r="BS141" s="27" t="n"/>
      <c r="BT141" s="27" t="n"/>
      <c r="BU141" s="27" t="n"/>
      <c r="BV141" s="27" t="n"/>
      <c r="BW141" s="27" t="n"/>
      <c r="BX141" s="27" t="n"/>
      <c r="BY141" s="27" t="n"/>
      <c r="BZ141" s="27" t="n"/>
      <c r="CA141" s="27" t="n"/>
      <c r="CB141" s="27" t="n"/>
      <c r="CC141" s="27" t="n"/>
      <c r="CD141" s="27" t="n"/>
      <c r="CE141" s="27" t="n"/>
      <c r="CF141" s="27" t="n"/>
      <c r="CG141" s="27" t="n"/>
      <c r="CH141" s="27" t="n"/>
      <c r="CI141" s="27" t="n"/>
      <c r="CJ141" s="27" t="n"/>
      <c r="CK141" s="27" t="n"/>
      <c r="CL141" s="27" t="n"/>
      <c r="CM141" s="27" t="n"/>
      <c r="CN141" s="27" t="n"/>
      <c r="CO141" s="27" t="n"/>
      <c r="CP141" s="27" t="n"/>
      <c r="CQ141" s="27" t="n"/>
      <c r="CR141" s="27" t="n"/>
      <c r="CS141" s="27" t="n"/>
      <c r="CT141" s="27" t="n"/>
      <c r="CU141" s="27" t="n"/>
      <c r="CV141" s="27" t="n"/>
      <c r="CW141" s="27" t="n"/>
      <c r="CX141" s="27" t="n"/>
      <c r="CY141" s="27" t="n"/>
      <c r="CZ141" s="27" t="n"/>
      <c r="DA141" s="27" t="n"/>
      <c r="DB141" s="27" t="n"/>
      <c r="DC141" s="27" t="n"/>
      <c r="DD141" s="27" t="n"/>
      <c r="DE141" s="27" t="n"/>
      <c r="DF141" s="27" t="n"/>
      <c r="DG141" s="27" t="n"/>
      <c r="DH141" s="27" t="n"/>
      <c r="DI141" s="27" t="n"/>
      <c r="DJ141" s="27" t="n"/>
      <c r="DK141" s="27" t="n"/>
      <c r="DL141" s="27" t="n"/>
      <c r="DM141" s="27" t="n"/>
      <c r="DN141" s="27" t="n"/>
      <c r="DO141" s="27" t="n"/>
      <c r="DP141" s="27" t="n"/>
      <c r="DQ141" s="27" t="n"/>
      <c r="DR141" s="27" t="n"/>
      <c r="DS141" s="27" t="n"/>
      <c r="DT141" s="27" t="n"/>
      <c r="DU141" s="27" t="n"/>
      <c r="DV141" s="27" t="n"/>
      <c r="DW141" s="27" t="n"/>
      <c r="DX141" s="27" t="n"/>
      <c r="DY141" s="27" t="n"/>
      <c r="DZ141" s="27" t="n"/>
      <c r="EA141" s="27" t="n"/>
      <c r="EB141" s="27" t="n"/>
      <c r="EC141" s="27" t="n"/>
      <c r="ED141" s="27" t="n"/>
      <c r="EE141" s="27" t="n"/>
      <c r="EF141" s="27" t="n"/>
      <c r="EG141" s="27" t="n"/>
      <c r="EH141" s="27" t="n"/>
      <c r="EI141" s="27" t="n"/>
      <c r="EJ141" s="27" t="n"/>
      <c r="EK141" s="27" t="n"/>
      <c r="EL141" s="27" t="n"/>
      <c r="EM141" s="27" t="n"/>
      <c r="EN141" s="27" t="n"/>
      <c r="EO141" s="27" t="n"/>
      <c r="EP141" s="27" t="n"/>
      <c r="EQ141" s="27" t="n"/>
      <c r="ER141" s="27" t="n"/>
      <c r="ES141" s="27" t="n"/>
      <c r="ET141" s="27" t="n"/>
      <c r="EU141" s="27" t="n"/>
      <c r="EV141" s="27" t="n"/>
      <c r="EW141" s="27" t="n"/>
      <c r="EX141" s="27" t="n"/>
      <c r="EY141" s="27" t="n"/>
      <c r="EZ141" s="27" t="n"/>
      <c r="FA141" s="27" t="n"/>
      <c r="FB141" s="27" t="n"/>
      <c r="FC141" s="27" t="n"/>
      <c r="FD141" s="27" t="n"/>
      <c r="FE141" s="27" t="n"/>
      <c r="FF141" s="27" t="n"/>
      <c r="FG141" s="27" t="n"/>
      <c r="FH141" s="27" t="n"/>
      <c r="FI141" s="27" t="n"/>
      <c r="FJ141" s="27" t="n"/>
      <c r="FK141" s="27" t="n"/>
      <c r="FL141" s="27" t="n"/>
      <c r="FM141" s="27" t="n"/>
      <c r="FN141" s="27" t="n"/>
      <c r="FO141" s="27" t="n"/>
      <c r="FP141" s="27" t="n"/>
      <c r="FQ141" s="27" t="n"/>
      <c r="FR141" s="27" t="n"/>
      <c r="FS141" s="27" t="n"/>
      <c r="FT141" s="27" t="n"/>
      <c r="FU141" s="27" t="n"/>
      <c r="FV141" s="27" t="n"/>
      <c r="FW141" s="27" t="n"/>
      <c r="FX141" s="27" t="n"/>
      <c r="FY141" s="27" t="n"/>
      <c r="FZ141" s="27" t="n"/>
      <c r="GA141" s="27" t="n"/>
      <c r="GB141" s="27" t="n"/>
      <c r="GC141" s="27" t="n"/>
      <c r="GD141" s="27" t="n"/>
      <c r="GE141" s="27" t="n"/>
      <c r="GF141" s="27" t="n"/>
      <c r="GG141" s="27" t="n"/>
      <c r="GH141" s="27" t="n"/>
      <c r="GI141" s="27" t="n"/>
      <c r="GJ141" s="27" t="n"/>
      <c r="GK141" s="27" t="n"/>
      <c r="GL141" s="27" t="n"/>
      <c r="GM141" s="27" t="n"/>
      <c r="GN141" s="27" t="n"/>
      <c r="GO141" s="27" t="n"/>
      <c r="GP141" s="27" t="n"/>
      <c r="GQ141" s="27" t="n"/>
      <c r="GR141" s="27" t="n"/>
      <c r="GS141" s="27" t="n"/>
      <c r="GT141" s="27" t="n"/>
      <c r="GU141" s="27" t="n"/>
      <c r="GV141" s="27" t="n"/>
      <c r="GW141" s="27" t="n"/>
      <c r="GX141" s="27" t="n"/>
      <c r="GY141" s="27" t="n"/>
      <c r="GZ141" s="27" t="n"/>
      <c r="HA141" s="27" t="n"/>
      <c r="HB141" s="27" t="n"/>
      <c r="HC141" s="27" t="n"/>
      <c r="HD141" s="27" t="n"/>
      <c r="HE141" s="27" t="n"/>
      <c r="HF141" s="27" t="n"/>
      <c r="HG141" s="27" t="n"/>
      <c r="HH141" s="27" t="n"/>
      <c r="HI141" s="27" t="n"/>
      <c r="HJ141" s="27" t="n"/>
      <c r="HK141" s="27" t="n"/>
      <c r="HL141" s="27" t="n"/>
      <c r="HM141" s="27" t="n"/>
      <c r="HN141" s="27" t="n"/>
      <c r="HO141" s="27" t="n"/>
      <c r="HP141" s="27" t="n"/>
      <c r="HQ141" s="27" t="n"/>
      <c r="HR141" s="27" t="n"/>
      <c r="HS141" s="27" t="n"/>
      <c r="HT141" s="27" t="n"/>
      <c r="HU141" s="27" t="n"/>
      <c r="HV141" s="27" t="n"/>
      <c r="HW141" s="27" t="n"/>
      <c r="HX141" s="27" t="n"/>
      <c r="HY141" s="27" t="n"/>
      <c r="HZ141" s="27" t="n"/>
      <c r="IA141" s="27" t="n"/>
      <c r="IB141" s="27" t="n"/>
      <c r="IC141" s="27" t="n"/>
      <c r="ID141" s="27" t="n"/>
      <c r="IE141" s="27" t="n"/>
      <c r="IF141" s="27" t="n"/>
      <c r="IG141" s="27" t="n"/>
      <c r="IH141" s="27" t="n"/>
      <c r="II141" s="27" t="n"/>
      <c r="IJ141" s="27" t="n"/>
      <c r="IK141" s="27" t="n"/>
      <c r="IL141" s="27" t="n"/>
      <c r="IM141" s="27" t="n"/>
      <c r="IN141" s="27" t="n"/>
      <c r="IO141" s="27" t="n"/>
      <c r="IP141" s="27" t="n"/>
      <c r="IQ141" s="27" t="n"/>
      <c r="IR141" s="27" t="n"/>
      <c r="IS141" s="27" t="n"/>
      <c r="IT141" s="27" t="n"/>
      <c r="IU141" s="27" t="n"/>
      <c r="IV141" s="27" t="n"/>
    </row>
    <row r="142" ht="13" customHeight="1" s="195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  <c r="AA142" s="27" t="n"/>
      <c r="AB142" s="27" t="n"/>
      <c r="AC142" s="27" t="n"/>
      <c r="AD142" s="27" t="n"/>
      <c r="AE142" s="27" t="n"/>
      <c r="AF142" s="27" t="n"/>
      <c r="AG142" s="27" t="n"/>
      <c r="AH142" s="27" t="n"/>
      <c r="AI142" s="27" t="n"/>
      <c r="AJ142" s="27" t="n"/>
      <c r="AK142" s="27" t="n"/>
      <c r="AL142" s="27" t="n"/>
      <c r="AM142" s="27" t="n"/>
      <c r="AN142" s="27" t="n"/>
      <c r="AO142" s="27" t="n"/>
      <c r="AP142" s="27" t="n"/>
      <c r="AQ142" s="27" t="n"/>
      <c r="AR142" s="27" t="n"/>
      <c r="AS142" s="27" t="n"/>
      <c r="AT142" s="27" t="n"/>
      <c r="AU142" s="27" t="n"/>
      <c r="AV142" s="27" t="n"/>
      <c r="AW142" s="27" t="n"/>
      <c r="AX142" s="27" t="n"/>
      <c r="AY142" s="27" t="n"/>
      <c r="AZ142" s="27" t="n"/>
      <c r="BA142" s="27" t="n"/>
      <c r="BB142" s="27" t="n"/>
      <c r="BC142" s="27" t="n"/>
      <c r="BD142" s="27" t="n"/>
      <c r="BE142" s="27" t="n"/>
      <c r="BF142" s="27" t="n"/>
      <c r="BG142" s="27" t="n"/>
      <c r="BH142" s="27" t="n"/>
      <c r="BI142" s="27" t="n"/>
      <c r="BJ142" s="27" t="n"/>
      <c r="BK142" s="27" t="n"/>
      <c r="BL142" s="27" t="n"/>
      <c r="BM142" s="27" t="n"/>
      <c r="BN142" s="27" t="n"/>
      <c r="BO142" s="27" t="n"/>
      <c r="BP142" s="27" t="n"/>
      <c r="BQ142" s="27" t="n"/>
      <c r="BR142" s="27" t="n"/>
      <c r="BS142" s="27" t="n"/>
      <c r="BT142" s="27" t="n"/>
      <c r="BU142" s="27" t="n"/>
      <c r="BV142" s="27" t="n"/>
      <c r="BW142" s="27" t="n"/>
      <c r="BX142" s="27" t="n"/>
      <c r="BY142" s="27" t="n"/>
      <c r="BZ142" s="27" t="n"/>
      <c r="CA142" s="27" t="n"/>
      <c r="CB142" s="27" t="n"/>
      <c r="CC142" s="27" t="n"/>
      <c r="CD142" s="27" t="n"/>
      <c r="CE142" s="27" t="n"/>
      <c r="CF142" s="27" t="n"/>
      <c r="CG142" s="27" t="n"/>
      <c r="CH142" s="27" t="n"/>
      <c r="CI142" s="27" t="n"/>
      <c r="CJ142" s="27" t="n"/>
      <c r="CK142" s="27" t="n"/>
      <c r="CL142" s="27" t="n"/>
      <c r="CM142" s="27" t="n"/>
      <c r="CN142" s="27" t="n"/>
      <c r="CO142" s="27" t="n"/>
      <c r="CP142" s="27" t="n"/>
      <c r="CQ142" s="27" t="n"/>
      <c r="CR142" s="27" t="n"/>
      <c r="CS142" s="27" t="n"/>
      <c r="CT142" s="27" t="n"/>
      <c r="CU142" s="27" t="n"/>
      <c r="CV142" s="27" t="n"/>
      <c r="CW142" s="27" t="n"/>
      <c r="CX142" s="27" t="n"/>
      <c r="CY142" s="27" t="n"/>
      <c r="CZ142" s="27" t="n"/>
      <c r="DA142" s="27" t="n"/>
      <c r="DB142" s="27" t="n"/>
      <c r="DC142" s="27" t="n"/>
      <c r="DD142" s="27" t="n"/>
      <c r="DE142" s="27" t="n"/>
      <c r="DF142" s="27" t="n"/>
      <c r="DG142" s="27" t="n"/>
      <c r="DH142" s="27" t="n"/>
      <c r="DI142" s="27" t="n"/>
      <c r="DJ142" s="27" t="n"/>
      <c r="DK142" s="27" t="n"/>
      <c r="DL142" s="27" t="n"/>
      <c r="DM142" s="27" t="n"/>
      <c r="DN142" s="27" t="n"/>
      <c r="DO142" s="27" t="n"/>
      <c r="DP142" s="27" t="n"/>
      <c r="DQ142" s="27" t="n"/>
      <c r="DR142" s="27" t="n"/>
      <c r="DS142" s="27" t="n"/>
      <c r="DT142" s="27" t="n"/>
      <c r="DU142" s="27" t="n"/>
      <c r="DV142" s="27" t="n"/>
      <c r="DW142" s="27" t="n"/>
      <c r="DX142" s="27" t="n"/>
      <c r="DY142" s="27" t="n"/>
      <c r="DZ142" s="27" t="n"/>
      <c r="EA142" s="27" t="n"/>
      <c r="EB142" s="27" t="n"/>
      <c r="EC142" s="27" t="n"/>
      <c r="ED142" s="27" t="n"/>
      <c r="EE142" s="27" t="n"/>
      <c r="EF142" s="27" t="n"/>
      <c r="EG142" s="27" t="n"/>
      <c r="EH142" s="27" t="n"/>
      <c r="EI142" s="27" t="n"/>
      <c r="EJ142" s="27" t="n"/>
      <c r="EK142" s="27" t="n"/>
      <c r="EL142" s="27" t="n"/>
      <c r="EM142" s="27" t="n"/>
      <c r="EN142" s="27" t="n"/>
      <c r="EO142" s="27" t="n"/>
      <c r="EP142" s="27" t="n"/>
      <c r="EQ142" s="27" t="n"/>
      <c r="ER142" s="27" t="n"/>
      <c r="ES142" s="27" t="n"/>
      <c r="ET142" s="27" t="n"/>
      <c r="EU142" s="27" t="n"/>
      <c r="EV142" s="27" t="n"/>
      <c r="EW142" s="27" t="n"/>
      <c r="EX142" s="27" t="n"/>
      <c r="EY142" s="27" t="n"/>
      <c r="EZ142" s="27" t="n"/>
      <c r="FA142" s="27" t="n"/>
      <c r="FB142" s="27" t="n"/>
      <c r="FC142" s="27" t="n"/>
      <c r="FD142" s="27" t="n"/>
      <c r="FE142" s="27" t="n"/>
      <c r="FF142" s="27" t="n"/>
      <c r="FG142" s="27" t="n"/>
      <c r="FH142" s="27" t="n"/>
      <c r="FI142" s="27" t="n"/>
      <c r="FJ142" s="27" t="n"/>
      <c r="FK142" s="27" t="n"/>
      <c r="FL142" s="27" t="n"/>
      <c r="FM142" s="27" t="n"/>
      <c r="FN142" s="27" t="n"/>
      <c r="FO142" s="27" t="n"/>
      <c r="FP142" s="27" t="n"/>
      <c r="FQ142" s="27" t="n"/>
      <c r="FR142" s="27" t="n"/>
      <c r="FS142" s="27" t="n"/>
      <c r="FT142" s="27" t="n"/>
      <c r="FU142" s="27" t="n"/>
      <c r="FV142" s="27" t="n"/>
      <c r="FW142" s="27" t="n"/>
      <c r="FX142" s="27" t="n"/>
      <c r="FY142" s="27" t="n"/>
      <c r="FZ142" s="27" t="n"/>
      <c r="GA142" s="27" t="n"/>
      <c r="GB142" s="27" t="n"/>
      <c r="GC142" s="27" t="n"/>
      <c r="GD142" s="27" t="n"/>
      <c r="GE142" s="27" t="n"/>
      <c r="GF142" s="27" t="n"/>
      <c r="GG142" s="27" t="n"/>
      <c r="GH142" s="27" t="n"/>
      <c r="GI142" s="27" t="n"/>
      <c r="GJ142" s="27" t="n"/>
      <c r="GK142" s="27" t="n"/>
      <c r="GL142" s="27" t="n"/>
      <c r="GM142" s="27" t="n"/>
      <c r="GN142" s="27" t="n"/>
      <c r="GO142" s="27" t="n"/>
      <c r="GP142" s="27" t="n"/>
      <c r="GQ142" s="27" t="n"/>
      <c r="GR142" s="27" t="n"/>
      <c r="GS142" s="27" t="n"/>
      <c r="GT142" s="27" t="n"/>
      <c r="GU142" s="27" t="n"/>
      <c r="GV142" s="27" t="n"/>
      <c r="GW142" s="27" t="n"/>
      <c r="GX142" s="27" t="n"/>
      <c r="GY142" s="27" t="n"/>
      <c r="GZ142" s="27" t="n"/>
      <c r="HA142" s="27" t="n"/>
      <c r="HB142" s="27" t="n"/>
      <c r="HC142" s="27" t="n"/>
      <c r="HD142" s="27" t="n"/>
      <c r="HE142" s="27" t="n"/>
      <c r="HF142" s="27" t="n"/>
      <c r="HG142" s="27" t="n"/>
      <c r="HH142" s="27" t="n"/>
      <c r="HI142" s="27" t="n"/>
      <c r="HJ142" s="27" t="n"/>
      <c r="HK142" s="27" t="n"/>
      <c r="HL142" s="27" t="n"/>
      <c r="HM142" s="27" t="n"/>
      <c r="HN142" s="27" t="n"/>
      <c r="HO142" s="27" t="n"/>
      <c r="HP142" s="27" t="n"/>
      <c r="HQ142" s="27" t="n"/>
      <c r="HR142" s="27" t="n"/>
      <c r="HS142" s="27" t="n"/>
      <c r="HT142" s="27" t="n"/>
      <c r="HU142" s="27" t="n"/>
      <c r="HV142" s="27" t="n"/>
      <c r="HW142" s="27" t="n"/>
      <c r="HX142" s="27" t="n"/>
      <c r="HY142" s="27" t="n"/>
      <c r="HZ142" s="27" t="n"/>
      <c r="IA142" s="27" t="n"/>
      <c r="IB142" s="27" t="n"/>
      <c r="IC142" s="27" t="n"/>
      <c r="ID142" s="27" t="n"/>
      <c r="IE142" s="27" t="n"/>
      <c r="IF142" s="27" t="n"/>
      <c r="IG142" s="27" t="n"/>
      <c r="IH142" s="27" t="n"/>
      <c r="II142" s="27" t="n"/>
      <c r="IJ142" s="27" t="n"/>
      <c r="IK142" s="27" t="n"/>
      <c r="IL142" s="27" t="n"/>
      <c r="IM142" s="27" t="n"/>
      <c r="IN142" s="27" t="n"/>
      <c r="IO142" s="27" t="n"/>
      <c r="IP142" s="27" t="n"/>
      <c r="IQ142" s="27" t="n"/>
      <c r="IR142" s="27" t="n"/>
      <c r="IS142" s="27" t="n"/>
      <c r="IT142" s="27" t="n"/>
      <c r="IU142" s="27" t="n"/>
      <c r="IV142" s="27" t="n"/>
    </row>
    <row r="143" ht="13" customHeight="1" s="195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  <c r="AA143" s="27" t="n"/>
      <c r="AB143" s="27" t="n"/>
      <c r="AC143" s="27" t="n"/>
      <c r="AD143" s="27" t="n"/>
      <c r="AE143" s="27" t="n"/>
      <c r="AF143" s="27" t="n"/>
      <c r="AG143" s="27" t="n"/>
      <c r="AH143" s="27" t="n"/>
      <c r="AI143" s="27" t="n"/>
      <c r="AJ143" s="27" t="n"/>
      <c r="AK143" s="27" t="n"/>
      <c r="AL143" s="27" t="n"/>
      <c r="AM143" s="27" t="n"/>
      <c r="AN143" s="27" t="n"/>
      <c r="AO143" s="27" t="n"/>
      <c r="AP143" s="27" t="n"/>
      <c r="AQ143" s="27" t="n"/>
      <c r="AR143" s="27" t="n"/>
      <c r="AS143" s="27" t="n"/>
      <c r="AT143" s="27" t="n"/>
      <c r="AU143" s="27" t="n"/>
      <c r="AV143" s="27" t="n"/>
      <c r="AW143" s="27" t="n"/>
      <c r="AX143" s="27" t="n"/>
      <c r="AY143" s="27" t="n"/>
      <c r="AZ143" s="27" t="n"/>
      <c r="BA143" s="27" t="n"/>
      <c r="BB143" s="27" t="n"/>
      <c r="BC143" s="27" t="n"/>
      <c r="BD143" s="27" t="n"/>
      <c r="BE143" s="27" t="n"/>
      <c r="BF143" s="27" t="n"/>
      <c r="BG143" s="27" t="n"/>
      <c r="BH143" s="27" t="n"/>
      <c r="BI143" s="27" t="n"/>
      <c r="BJ143" s="27" t="n"/>
      <c r="BK143" s="27" t="n"/>
      <c r="BL143" s="27" t="n"/>
      <c r="BM143" s="27" t="n"/>
      <c r="BN143" s="27" t="n"/>
      <c r="BO143" s="27" t="n"/>
      <c r="BP143" s="27" t="n"/>
      <c r="BQ143" s="27" t="n"/>
      <c r="BR143" s="27" t="n"/>
      <c r="BS143" s="27" t="n"/>
      <c r="BT143" s="27" t="n"/>
      <c r="BU143" s="27" t="n"/>
      <c r="BV143" s="27" t="n"/>
      <c r="BW143" s="27" t="n"/>
      <c r="BX143" s="27" t="n"/>
      <c r="BY143" s="27" t="n"/>
      <c r="BZ143" s="27" t="n"/>
      <c r="CA143" s="27" t="n"/>
      <c r="CB143" s="27" t="n"/>
      <c r="CC143" s="27" t="n"/>
      <c r="CD143" s="27" t="n"/>
      <c r="CE143" s="27" t="n"/>
      <c r="CF143" s="27" t="n"/>
      <c r="CG143" s="27" t="n"/>
      <c r="CH143" s="27" t="n"/>
      <c r="CI143" s="27" t="n"/>
      <c r="CJ143" s="27" t="n"/>
      <c r="CK143" s="27" t="n"/>
      <c r="CL143" s="27" t="n"/>
      <c r="CM143" s="27" t="n"/>
      <c r="CN143" s="27" t="n"/>
      <c r="CO143" s="27" t="n"/>
      <c r="CP143" s="27" t="n"/>
      <c r="CQ143" s="27" t="n"/>
      <c r="CR143" s="27" t="n"/>
      <c r="CS143" s="27" t="n"/>
      <c r="CT143" s="27" t="n"/>
      <c r="CU143" s="27" t="n"/>
      <c r="CV143" s="27" t="n"/>
      <c r="CW143" s="27" t="n"/>
      <c r="CX143" s="27" t="n"/>
      <c r="CY143" s="27" t="n"/>
      <c r="CZ143" s="27" t="n"/>
      <c r="DA143" s="27" t="n"/>
      <c r="DB143" s="27" t="n"/>
      <c r="DC143" s="27" t="n"/>
      <c r="DD143" s="27" t="n"/>
      <c r="DE143" s="27" t="n"/>
      <c r="DF143" s="27" t="n"/>
      <c r="DG143" s="27" t="n"/>
      <c r="DH143" s="27" t="n"/>
      <c r="DI143" s="27" t="n"/>
      <c r="DJ143" s="27" t="n"/>
      <c r="DK143" s="27" t="n"/>
      <c r="DL143" s="27" t="n"/>
      <c r="DM143" s="27" t="n"/>
      <c r="DN143" s="27" t="n"/>
      <c r="DO143" s="27" t="n"/>
      <c r="DP143" s="27" t="n"/>
      <c r="DQ143" s="27" t="n"/>
      <c r="DR143" s="27" t="n"/>
      <c r="DS143" s="27" t="n"/>
      <c r="DT143" s="27" t="n"/>
      <c r="DU143" s="27" t="n"/>
      <c r="DV143" s="27" t="n"/>
      <c r="DW143" s="27" t="n"/>
      <c r="DX143" s="27" t="n"/>
      <c r="DY143" s="27" t="n"/>
      <c r="DZ143" s="27" t="n"/>
      <c r="EA143" s="27" t="n"/>
      <c r="EB143" s="27" t="n"/>
      <c r="EC143" s="27" t="n"/>
      <c r="ED143" s="27" t="n"/>
      <c r="EE143" s="27" t="n"/>
      <c r="EF143" s="27" t="n"/>
      <c r="EG143" s="27" t="n"/>
      <c r="EH143" s="27" t="n"/>
      <c r="EI143" s="27" t="n"/>
      <c r="EJ143" s="27" t="n"/>
      <c r="EK143" s="27" t="n"/>
      <c r="EL143" s="27" t="n"/>
      <c r="EM143" s="27" t="n"/>
      <c r="EN143" s="27" t="n"/>
      <c r="EO143" s="27" t="n"/>
      <c r="EP143" s="27" t="n"/>
      <c r="EQ143" s="27" t="n"/>
      <c r="ER143" s="27" t="n"/>
      <c r="ES143" s="27" t="n"/>
      <c r="ET143" s="27" t="n"/>
      <c r="EU143" s="27" t="n"/>
      <c r="EV143" s="27" t="n"/>
      <c r="EW143" s="27" t="n"/>
      <c r="EX143" s="27" t="n"/>
      <c r="EY143" s="27" t="n"/>
      <c r="EZ143" s="27" t="n"/>
      <c r="FA143" s="27" t="n"/>
      <c r="FB143" s="27" t="n"/>
      <c r="FC143" s="27" t="n"/>
      <c r="FD143" s="27" t="n"/>
      <c r="FE143" s="27" t="n"/>
      <c r="FF143" s="27" t="n"/>
      <c r="FG143" s="27" t="n"/>
      <c r="FH143" s="27" t="n"/>
      <c r="FI143" s="27" t="n"/>
      <c r="FJ143" s="27" t="n"/>
      <c r="FK143" s="27" t="n"/>
      <c r="FL143" s="27" t="n"/>
      <c r="FM143" s="27" t="n"/>
      <c r="FN143" s="27" t="n"/>
      <c r="FO143" s="27" t="n"/>
      <c r="FP143" s="27" t="n"/>
      <c r="FQ143" s="27" t="n"/>
      <c r="FR143" s="27" t="n"/>
      <c r="FS143" s="27" t="n"/>
      <c r="FT143" s="27" t="n"/>
      <c r="FU143" s="27" t="n"/>
      <c r="FV143" s="27" t="n"/>
      <c r="FW143" s="27" t="n"/>
      <c r="FX143" s="27" t="n"/>
      <c r="FY143" s="27" t="n"/>
      <c r="FZ143" s="27" t="n"/>
      <c r="GA143" s="27" t="n"/>
      <c r="GB143" s="27" t="n"/>
      <c r="GC143" s="27" t="n"/>
      <c r="GD143" s="27" t="n"/>
      <c r="GE143" s="27" t="n"/>
      <c r="GF143" s="27" t="n"/>
      <c r="GG143" s="27" t="n"/>
      <c r="GH143" s="27" t="n"/>
      <c r="GI143" s="27" t="n"/>
      <c r="GJ143" s="27" t="n"/>
      <c r="GK143" s="27" t="n"/>
      <c r="GL143" s="27" t="n"/>
      <c r="GM143" s="27" t="n"/>
      <c r="GN143" s="27" t="n"/>
      <c r="GO143" s="27" t="n"/>
      <c r="GP143" s="27" t="n"/>
      <c r="GQ143" s="27" t="n"/>
      <c r="GR143" s="27" t="n"/>
      <c r="GS143" s="27" t="n"/>
      <c r="GT143" s="27" t="n"/>
      <c r="GU143" s="27" t="n"/>
      <c r="GV143" s="27" t="n"/>
      <c r="GW143" s="27" t="n"/>
      <c r="GX143" s="27" t="n"/>
      <c r="GY143" s="27" t="n"/>
      <c r="GZ143" s="27" t="n"/>
      <c r="HA143" s="27" t="n"/>
      <c r="HB143" s="27" t="n"/>
      <c r="HC143" s="27" t="n"/>
      <c r="HD143" s="27" t="n"/>
      <c r="HE143" s="27" t="n"/>
      <c r="HF143" s="27" t="n"/>
      <c r="HG143" s="27" t="n"/>
      <c r="HH143" s="27" t="n"/>
      <c r="HI143" s="27" t="n"/>
      <c r="HJ143" s="27" t="n"/>
      <c r="HK143" s="27" t="n"/>
      <c r="HL143" s="27" t="n"/>
      <c r="HM143" s="27" t="n"/>
      <c r="HN143" s="27" t="n"/>
      <c r="HO143" s="27" t="n"/>
      <c r="HP143" s="27" t="n"/>
      <c r="HQ143" s="27" t="n"/>
      <c r="HR143" s="27" t="n"/>
      <c r="HS143" s="27" t="n"/>
      <c r="HT143" s="27" t="n"/>
      <c r="HU143" s="27" t="n"/>
      <c r="HV143" s="27" t="n"/>
      <c r="HW143" s="27" t="n"/>
      <c r="HX143" s="27" t="n"/>
      <c r="HY143" s="27" t="n"/>
      <c r="HZ143" s="27" t="n"/>
      <c r="IA143" s="27" t="n"/>
      <c r="IB143" s="27" t="n"/>
      <c r="IC143" s="27" t="n"/>
      <c r="ID143" s="27" t="n"/>
      <c r="IE143" s="27" t="n"/>
      <c r="IF143" s="27" t="n"/>
      <c r="IG143" s="27" t="n"/>
      <c r="IH143" s="27" t="n"/>
      <c r="II143" s="27" t="n"/>
      <c r="IJ143" s="27" t="n"/>
      <c r="IK143" s="27" t="n"/>
      <c r="IL143" s="27" t="n"/>
      <c r="IM143" s="27" t="n"/>
      <c r="IN143" s="27" t="n"/>
      <c r="IO143" s="27" t="n"/>
      <c r="IP143" s="27" t="n"/>
      <c r="IQ143" s="27" t="n"/>
      <c r="IR143" s="27" t="n"/>
      <c r="IS143" s="27" t="n"/>
      <c r="IT143" s="27" t="n"/>
      <c r="IU143" s="27" t="n"/>
      <c r="IV143" s="27" t="n"/>
    </row>
    <row r="144" ht="13" customHeight="1" s="195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  <c r="AA144" s="27" t="n"/>
      <c r="AB144" s="27" t="n"/>
      <c r="AC144" s="27" t="n"/>
      <c r="AD144" s="27" t="n"/>
      <c r="AE144" s="27" t="n"/>
      <c r="AF144" s="27" t="n"/>
      <c r="AG144" s="27" t="n"/>
      <c r="AH144" s="27" t="n"/>
      <c r="AI144" s="27" t="n"/>
      <c r="AJ144" s="27" t="n"/>
      <c r="AK144" s="27" t="n"/>
      <c r="AL144" s="27" t="n"/>
      <c r="AM144" s="27" t="n"/>
      <c r="AN144" s="27" t="n"/>
      <c r="AO144" s="27" t="n"/>
      <c r="AP144" s="27" t="n"/>
      <c r="AQ144" s="27" t="n"/>
      <c r="AR144" s="27" t="n"/>
      <c r="AS144" s="27" t="n"/>
      <c r="AT144" s="27" t="n"/>
      <c r="AU144" s="27" t="n"/>
      <c r="AV144" s="27" t="n"/>
      <c r="AW144" s="27" t="n"/>
      <c r="AX144" s="27" t="n"/>
      <c r="AY144" s="27" t="n"/>
      <c r="AZ144" s="27" t="n"/>
      <c r="BA144" s="27" t="n"/>
      <c r="BB144" s="27" t="n"/>
      <c r="BC144" s="27" t="n"/>
      <c r="BD144" s="27" t="n"/>
      <c r="BE144" s="27" t="n"/>
      <c r="BF144" s="27" t="n"/>
      <c r="BG144" s="27" t="n"/>
      <c r="BH144" s="27" t="n"/>
      <c r="BI144" s="27" t="n"/>
      <c r="BJ144" s="27" t="n"/>
      <c r="BK144" s="27" t="n"/>
      <c r="BL144" s="27" t="n"/>
      <c r="BM144" s="27" t="n"/>
      <c r="BN144" s="27" t="n"/>
      <c r="BO144" s="27" t="n"/>
      <c r="BP144" s="27" t="n"/>
      <c r="BQ144" s="27" t="n"/>
      <c r="BR144" s="27" t="n"/>
      <c r="BS144" s="27" t="n"/>
      <c r="BT144" s="27" t="n"/>
      <c r="BU144" s="27" t="n"/>
      <c r="BV144" s="27" t="n"/>
      <c r="BW144" s="27" t="n"/>
      <c r="BX144" s="27" t="n"/>
      <c r="BY144" s="27" t="n"/>
      <c r="BZ144" s="27" t="n"/>
      <c r="CA144" s="27" t="n"/>
      <c r="CB144" s="27" t="n"/>
      <c r="CC144" s="27" t="n"/>
      <c r="CD144" s="27" t="n"/>
      <c r="CE144" s="27" t="n"/>
      <c r="CF144" s="27" t="n"/>
      <c r="CG144" s="27" t="n"/>
      <c r="CH144" s="27" t="n"/>
      <c r="CI144" s="27" t="n"/>
      <c r="CJ144" s="27" t="n"/>
      <c r="CK144" s="27" t="n"/>
      <c r="CL144" s="27" t="n"/>
      <c r="CM144" s="27" t="n"/>
      <c r="CN144" s="27" t="n"/>
      <c r="CO144" s="27" t="n"/>
      <c r="CP144" s="27" t="n"/>
      <c r="CQ144" s="27" t="n"/>
      <c r="CR144" s="27" t="n"/>
      <c r="CS144" s="27" t="n"/>
      <c r="CT144" s="27" t="n"/>
      <c r="CU144" s="27" t="n"/>
      <c r="CV144" s="27" t="n"/>
      <c r="CW144" s="27" t="n"/>
      <c r="CX144" s="27" t="n"/>
      <c r="CY144" s="27" t="n"/>
      <c r="CZ144" s="27" t="n"/>
      <c r="DA144" s="27" t="n"/>
      <c r="DB144" s="27" t="n"/>
      <c r="DC144" s="27" t="n"/>
      <c r="DD144" s="27" t="n"/>
      <c r="DE144" s="27" t="n"/>
      <c r="DF144" s="27" t="n"/>
      <c r="DG144" s="27" t="n"/>
      <c r="DH144" s="27" t="n"/>
      <c r="DI144" s="27" t="n"/>
      <c r="DJ144" s="27" t="n"/>
      <c r="DK144" s="27" t="n"/>
      <c r="DL144" s="27" t="n"/>
      <c r="DM144" s="27" t="n"/>
      <c r="DN144" s="27" t="n"/>
      <c r="DO144" s="27" t="n"/>
      <c r="DP144" s="27" t="n"/>
      <c r="DQ144" s="27" t="n"/>
      <c r="DR144" s="27" t="n"/>
      <c r="DS144" s="27" t="n"/>
      <c r="DT144" s="27" t="n"/>
      <c r="DU144" s="27" t="n"/>
      <c r="DV144" s="27" t="n"/>
      <c r="DW144" s="27" t="n"/>
      <c r="DX144" s="27" t="n"/>
      <c r="DY144" s="27" t="n"/>
      <c r="DZ144" s="27" t="n"/>
      <c r="EA144" s="27" t="n"/>
      <c r="EB144" s="27" t="n"/>
      <c r="EC144" s="27" t="n"/>
      <c r="ED144" s="27" t="n"/>
      <c r="EE144" s="27" t="n"/>
      <c r="EF144" s="27" t="n"/>
      <c r="EG144" s="27" t="n"/>
      <c r="EH144" s="27" t="n"/>
      <c r="EI144" s="27" t="n"/>
      <c r="EJ144" s="27" t="n"/>
      <c r="EK144" s="27" t="n"/>
      <c r="EL144" s="27" t="n"/>
      <c r="EM144" s="27" t="n"/>
      <c r="EN144" s="27" t="n"/>
      <c r="EO144" s="27" t="n"/>
      <c r="EP144" s="27" t="n"/>
      <c r="EQ144" s="27" t="n"/>
      <c r="ER144" s="27" t="n"/>
      <c r="ES144" s="27" t="n"/>
      <c r="ET144" s="27" t="n"/>
      <c r="EU144" s="27" t="n"/>
      <c r="EV144" s="27" t="n"/>
      <c r="EW144" s="27" t="n"/>
      <c r="EX144" s="27" t="n"/>
      <c r="EY144" s="27" t="n"/>
      <c r="EZ144" s="27" t="n"/>
      <c r="FA144" s="27" t="n"/>
      <c r="FB144" s="27" t="n"/>
      <c r="FC144" s="27" t="n"/>
      <c r="FD144" s="27" t="n"/>
      <c r="FE144" s="27" t="n"/>
      <c r="FF144" s="27" t="n"/>
      <c r="FG144" s="27" t="n"/>
      <c r="FH144" s="27" t="n"/>
      <c r="FI144" s="27" t="n"/>
      <c r="FJ144" s="27" t="n"/>
      <c r="FK144" s="27" t="n"/>
      <c r="FL144" s="27" t="n"/>
      <c r="FM144" s="27" t="n"/>
      <c r="FN144" s="27" t="n"/>
      <c r="FO144" s="27" t="n"/>
      <c r="FP144" s="27" t="n"/>
      <c r="FQ144" s="27" t="n"/>
      <c r="FR144" s="27" t="n"/>
      <c r="FS144" s="27" t="n"/>
      <c r="FT144" s="27" t="n"/>
      <c r="FU144" s="27" t="n"/>
      <c r="FV144" s="27" t="n"/>
      <c r="FW144" s="27" t="n"/>
      <c r="FX144" s="27" t="n"/>
      <c r="FY144" s="27" t="n"/>
      <c r="FZ144" s="27" t="n"/>
      <c r="GA144" s="27" t="n"/>
      <c r="GB144" s="27" t="n"/>
      <c r="GC144" s="27" t="n"/>
      <c r="GD144" s="27" t="n"/>
      <c r="GE144" s="27" t="n"/>
      <c r="GF144" s="27" t="n"/>
      <c r="GG144" s="27" t="n"/>
      <c r="GH144" s="27" t="n"/>
      <c r="GI144" s="27" t="n"/>
      <c r="GJ144" s="27" t="n"/>
      <c r="GK144" s="27" t="n"/>
      <c r="GL144" s="27" t="n"/>
      <c r="GM144" s="27" t="n"/>
      <c r="GN144" s="27" t="n"/>
      <c r="GO144" s="27" t="n"/>
      <c r="GP144" s="27" t="n"/>
      <c r="GQ144" s="27" t="n"/>
      <c r="GR144" s="27" t="n"/>
      <c r="GS144" s="27" t="n"/>
      <c r="GT144" s="27" t="n"/>
      <c r="GU144" s="27" t="n"/>
      <c r="GV144" s="27" t="n"/>
      <c r="GW144" s="27" t="n"/>
      <c r="GX144" s="27" t="n"/>
      <c r="GY144" s="27" t="n"/>
      <c r="GZ144" s="27" t="n"/>
      <c r="HA144" s="27" t="n"/>
      <c r="HB144" s="27" t="n"/>
      <c r="HC144" s="27" t="n"/>
      <c r="HD144" s="27" t="n"/>
      <c r="HE144" s="27" t="n"/>
      <c r="HF144" s="27" t="n"/>
      <c r="HG144" s="27" t="n"/>
      <c r="HH144" s="27" t="n"/>
      <c r="HI144" s="27" t="n"/>
      <c r="HJ144" s="27" t="n"/>
      <c r="HK144" s="27" t="n"/>
      <c r="HL144" s="27" t="n"/>
      <c r="HM144" s="27" t="n"/>
      <c r="HN144" s="27" t="n"/>
      <c r="HO144" s="27" t="n"/>
      <c r="HP144" s="27" t="n"/>
      <c r="HQ144" s="27" t="n"/>
      <c r="HR144" s="27" t="n"/>
      <c r="HS144" s="27" t="n"/>
      <c r="HT144" s="27" t="n"/>
      <c r="HU144" s="27" t="n"/>
      <c r="HV144" s="27" t="n"/>
      <c r="HW144" s="27" t="n"/>
      <c r="HX144" s="27" t="n"/>
      <c r="HY144" s="27" t="n"/>
      <c r="HZ144" s="27" t="n"/>
      <c r="IA144" s="27" t="n"/>
      <c r="IB144" s="27" t="n"/>
      <c r="IC144" s="27" t="n"/>
      <c r="ID144" s="27" t="n"/>
      <c r="IE144" s="27" t="n"/>
      <c r="IF144" s="27" t="n"/>
      <c r="IG144" s="27" t="n"/>
      <c r="IH144" s="27" t="n"/>
      <c r="II144" s="27" t="n"/>
      <c r="IJ144" s="27" t="n"/>
      <c r="IK144" s="27" t="n"/>
      <c r="IL144" s="27" t="n"/>
      <c r="IM144" s="27" t="n"/>
      <c r="IN144" s="27" t="n"/>
      <c r="IO144" s="27" t="n"/>
      <c r="IP144" s="27" t="n"/>
      <c r="IQ144" s="27" t="n"/>
      <c r="IR144" s="27" t="n"/>
      <c r="IS144" s="27" t="n"/>
      <c r="IT144" s="27" t="n"/>
      <c r="IU144" s="27" t="n"/>
      <c r="IV144" s="27" t="n"/>
    </row>
    <row r="145" ht="13" customHeight="1" s="195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  <c r="AA145" s="27" t="n"/>
      <c r="AB145" s="27" t="n"/>
      <c r="AC145" s="27" t="n"/>
      <c r="AD145" s="27" t="n"/>
      <c r="AE145" s="27" t="n"/>
      <c r="AF145" s="27" t="n"/>
      <c r="AG145" s="27" t="n"/>
      <c r="AH145" s="27" t="n"/>
      <c r="AI145" s="27" t="n"/>
      <c r="AJ145" s="27" t="n"/>
      <c r="AK145" s="27" t="n"/>
      <c r="AL145" s="27" t="n"/>
      <c r="AM145" s="27" t="n"/>
      <c r="AN145" s="27" t="n"/>
      <c r="AO145" s="27" t="n"/>
      <c r="AP145" s="27" t="n"/>
      <c r="AQ145" s="27" t="n"/>
      <c r="AR145" s="27" t="n"/>
      <c r="AS145" s="27" t="n"/>
      <c r="AT145" s="27" t="n"/>
      <c r="AU145" s="27" t="n"/>
      <c r="AV145" s="27" t="n"/>
      <c r="AW145" s="27" t="n"/>
      <c r="AX145" s="27" t="n"/>
      <c r="AY145" s="27" t="n"/>
      <c r="AZ145" s="27" t="n"/>
      <c r="BA145" s="27" t="n"/>
      <c r="BB145" s="27" t="n"/>
      <c r="BC145" s="27" t="n"/>
      <c r="BD145" s="27" t="n"/>
      <c r="BE145" s="27" t="n"/>
      <c r="BF145" s="27" t="n"/>
      <c r="BG145" s="27" t="n"/>
      <c r="BH145" s="27" t="n"/>
      <c r="BI145" s="27" t="n"/>
      <c r="BJ145" s="27" t="n"/>
      <c r="BK145" s="27" t="n"/>
      <c r="BL145" s="27" t="n"/>
      <c r="BM145" s="27" t="n"/>
      <c r="BN145" s="27" t="n"/>
      <c r="BO145" s="27" t="n"/>
      <c r="BP145" s="27" t="n"/>
      <c r="BQ145" s="27" t="n"/>
      <c r="BR145" s="27" t="n"/>
      <c r="BS145" s="27" t="n"/>
      <c r="BT145" s="27" t="n"/>
      <c r="BU145" s="27" t="n"/>
      <c r="BV145" s="27" t="n"/>
      <c r="BW145" s="27" t="n"/>
      <c r="BX145" s="27" t="n"/>
      <c r="BY145" s="27" t="n"/>
      <c r="BZ145" s="27" t="n"/>
      <c r="CA145" s="27" t="n"/>
      <c r="CB145" s="27" t="n"/>
      <c r="CC145" s="27" t="n"/>
      <c r="CD145" s="27" t="n"/>
      <c r="CE145" s="27" t="n"/>
      <c r="CF145" s="27" t="n"/>
      <c r="CG145" s="27" t="n"/>
      <c r="CH145" s="27" t="n"/>
      <c r="CI145" s="27" t="n"/>
      <c r="CJ145" s="27" t="n"/>
      <c r="CK145" s="27" t="n"/>
      <c r="CL145" s="27" t="n"/>
      <c r="CM145" s="27" t="n"/>
      <c r="CN145" s="27" t="n"/>
      <c r="CO145" s="27" t="n"/>
      <c r="CP145" s="27" t="n"/>
      <c r="CQ145" s="27" t="n"/>
      <c r="CR145" s="27" t="n"/>
      <c r="CS145" s="27" t="n"/>
      <c r="CT145" s="27" t="n"/>
      <c r="CU145" s="27" t="n"/>
      <c r="CV145" s="27" t="n"/>
      <c r="CW145" s="27" t="n"/>
      <c r="CX145" s="27" t="n"/>
      <c r="CY145" s="27" t="n"/>
      <c r="CZ145" s="27" t="n"/>
      <c r="DA145" s="27" t="n"/>
      <c r="DB145" s="27" t="n"/>
      <c r="DC145" s="27" t="n"/>
      <c r="DD145" s="27" t="n"/>
      <c r="DE145" s="27" t="n"/>
      <c r="DF145" s="27" t="n"/>
      <c r="DG145" s="27" t="n"/>
      <c r="DH145" s="27" t="n"/>
      <c r="DI145" s="27" t="n"/>
      <c r="DJ145" s="27" t="n"/>
      <c r="DK145" s="27" t="n"/>
      <c r="DL145" s="27" t="n"/>
      <c r="DM145" s="27" t="n"/>
      <c r="DN145" s="27" t="n"/>
      <c r="DO145" s="27" t="n"/>
      <c r="DP145" s="27" t="n"/>
      <c r="DQ145" s="27" t="n"/>
      <c r="DR145" s="27" t="n"/>
      <c r="DS145" s="27" t="n"/>
      <c r="DT145" s="27" t="n"/>
      <c r="DU145" s="27" t="n"/>
      <c r="DV145" s="27" t="n"/>
      <c r="DW145" s="27" t="n"/>
      <c r="DX145" s="27" t="n"/>
      <c r="DY145" s="27" t="n"/>
      <c r="DZ145" s="27" t="n"/>
      <c r="EA145" s="27" t="n"/>
      <c r="EB145" s="27" t="n"/>
      <c r="EC145" s="27" t="n"/>
      <c r="ED145" s="27" t="n"/>
      <c r="EE145" s="27" t="n"/>
      <c r="EF145" s="27" t="n"/>
      <c r="EG145" s="27" t="n"/>
      <c r="EH145" s="27" t="n"/>
      <c r="EI145" s="27" t="n"/>
      <c r="EJ145" s="27" t="n"/>
      <c r="EK145" s="27" t="n"/>
      <c r="EL145" s="27" t="n"/>
      <c r="EM145" s="27" t="n"/>
      <c r="EN145" s="27" t="n"/>
      <c r="EO145" s="27" t="n"/>
      <c r="EP145" s="27" t="n"/>
      <c r="EQ145" s="27" t="n"/>
      <c r="ER145" s="27" t="n"/>
      <c r="ES145" s="27" t="n"/>
      <c r="ET145" s="27" t="n"/>
      <c r="EU145" s="27" t="n"/>
      <c r="EV145" s="27" t="n"/>
      <c r="EW145" s="27" t="n"/>
      <c r="EX145" s="27" t="n"/>
      <c r="EY145" s="27" t="n"/>
      <c r="EZ145" s="27" t="n"/>
      <c r="FA145" s="27" t="n"/>
      <c r="FB145" s="27" t="n"/>
      <c r="FC145" s="27" t="n"/>
      <c r="FD145" s="27" t="n"/>
      <c r="FE145" s="27" t="n"/>
      <c r="FF145" s="27" t="n"/>
      <c r="FG145" s="27" t="n"/>
      <c r="FH145" s="27" t="n"/>
      <c r="FI145" s="27" t="n"/>
      <c r="FJ145" s="27" t="n"/>
      <c r="FK145" s="27" t="n"/>
      <c r="FL145" s="27" t="n"/>
      <c r="FM145" s="27" t="n"/>
      <c r="FN145" s="27" t="n"/>
      <c r="FO145" s="27" t="n"/>
      <c r="FP145" s="27" t="n"/>
      <c r="FQ145" s="27" t="n"/>
      <c r="FR145" s="27" t="n"/>
      <c r="FS145" s="27" t="n"/>
      <c r="FT145" s="27" t="n"/>
      <c r="FU145" s="27" t="n"/>
      <c r="FV145" s="27" t="n"/>
      <c r="FW145" s="27" t="n"/>
      <c r="FX145" s="27" t="n"/>
      <c r="FY145" s="27" t="n"/>
      <c r="FZ145" s="27" t="n"/>
      <c r="GA145" s="27" t="n"/>
      <c r="GB145" s="27" t="n"/>
      <c r="GC145" s="27" t="n"/>
      <c r="GD145" s="27" t="n"/>
      <c r="GE145" s="27" t="n"/>
      <c r="GF145" s="27" t="n"/>
      <c r="GG145" s="27" t="n"/>
      <c r="GH145" s="27" t="n"/>
      <c r="GI145" s="27" t="n"/>
      <c r="GJ145" s="27" t="n"/>
      <c r="GK145" s="27" t="n"/>
      <c r="GL145" s="27" t="n"/>
      <c r="GM145" s="27" t="n"/>
      <c r="GN145" s="27" t="n"/>
      <c r="GO145" s="27" t="n"/>
      <c r="GP145" s="27" t="n"/>
      <c r="GQ145" s="27" t="n"/>
      <c r="GR145" s="27" t="n"/>
      <c r="GS145" s="27" t="n"/>
      <c r="GT145" s="27" t="n"/>
      <c r="GU145" s="27" t="n"/>
      <c r="GV145" s="27" t="n"/>
      <c r="GW145" s="27" t="n"/>
      <c r="GX145" s="27" t="n"/>
      <c r="GY145" s="27" t="n"/>
      <c r="GZ145" s="27" t="n"/>
      <c r="HA145" s="27" t="n"/>
      <c r="HB145" s="27" t="n"/>
      <c r="HC145" s="27" t="n"/>
      <c r="HD145" s="27" t="n"/>
      <c r="HE145" s="27" t="n"/>
      <c r="HF145" s="27" t="n"/>
      <c r="HG145" s="27" t="n"/>
      <c r="HH145" s="27" t="n"/>
      <c r="HI145" s="27" t="n"/>
      <c r="HJ145" s="27" t="n"/>
      <c r="HK145" s="27" t="n"/>
      <c r="HL145" s="27" t="n"/>
      <c r="HM145" s="27" t="n"/>
      <c r="HN145" s="27" t="n"/>
      <c r="HO145" s="27" t="n"/>
      <c r="HP145" s="27" t="n"/>
      <c r="HQ145" s="27" t="n"/>
      <c r="HR145" s="27" t="n"/>
      <c r="HS145" s="27" t="n"/>
      <c r="HT145" s="27" t="n"/>
      <c r="HU145" s="27" t="n"/>
      <c r="HV145" s="27" t="n"/>
      <c r="HW145" s="27" t="n"/>
      <c r="HX145" s="27" t="n"/>
      <c r="HY145" s="27" t="n"/>
      <c r="HZ145" s="27" t="n"/>
      <c r="IA145" s="27" t="n"/>
      <c r="IB145" s="27" t="n"/>
      <c r="IC145" s="27" t="n"/>
      <c r="ID145" s="27" t="n"/>
      <c r="IE145" s="27" t="n"/>
      <c r="IF145" s="27" t="n"/>
      <c r="IG145" s="27" t="n"/>
      <c r="IH145" s="27" t="n"/>
      <c r="II145" s="27" t="n"/>
      <c r="IJ145" s="27" t="n"/>
      <c r="IK145" s="27" t="n"/>
      <c r="IL145" s="27" t="n"/>
      <c r="IM145" s="27" t="n"/>
      <c r="IN145" s="27" t="n"/>
      <c r="IO145" s="27" t="n"/>
      <c r="IP145" s="27" t="n"/>
      <c r="IQ145" s="27" t="n"/>
      <c r="IR145" s="27" t="n"/>
      <c r="IS145" s="27" t="n"/>
      <c r="IT145" s="27" t="n"/>
      <c r="IU145" s="27" t="n"/>
      <c r="IV145" s="27" t="n"/>
    </row>
    <row r="146" ht="13" customHeight="1" s="195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  <c r="AA146" s="27" t="n"/>
      <c r="AB146" s="27" t="n"/>
      <c r="AC146" s="27" t="n"/>
      <c r="AD146" s="27" t="n"/>
      <c r="AE146" s="27" t="n"/>
      <c r="AF146" s="27" t="n"/>
      <c r="AG146" s="27" t="n"/>
      <c r="AH146" s="27" t="n"/>
      <c r="AI146" s="27" t="n"/>
      <c r="AJ146" s="27" t="n"/>
      <c r="AK146" s="27" t="n"/>
      <c r="AL146" s="27" t="n"/>
      <c r="AM146" s="27" t="n"/>
      <c r="AN146" s="27" t="n"/>
      <c r="AO146" s="27" t="n"/>
      <c r="AP146" s="27" t="n"/>
      <c r="AQ146" s="27" t="n"/>
      <c r="AR146" s="27" t="n"/>
      <c r="AS146" s="27" t="n"/>
      <c r="AT146" s="27" t="n"/>
      <c r="AU146" s="27" t="n"/>
      <c r="AV146" s="27" t="n"/>
      <c r="AW146" s="27" t="n"/>
      <c r="AX146" s="27" t="n"/>
      <c r="AY146" s="27" t="n"/>
      <c r="AZ146" s="27" t="n"/>
      <c r="BA146" s="27" t="n"/>
      <c r="BB146" s="27" t="n"/>
      <c r="BC146" s="27" t="n"/>
      <c r="BD146" s="27" t="n"/>
      <c r="BE146" s="27" t="n"/>
      <c r="BF146" s="27" t="n"/>
      <c r="BG146" s="27" t="n"/>
      <c r="BH146" s="27" t="n"/>
      <c r="BI146" s="27" t="n"/>
      <c r="BJ146" s="27" t="n"/>
      <c r="BK146" s="27" t="n"/>
      <c r="BL146" s="27" t="n"/>
      <c r="BM146" s="27" t="n"/>
      <c r="BN146" s="27" t="n"/>
      <c r="BO146" s="27" t="n"/>
      <c r="BP146" s="27" t="n"/>
      <c r="BQ146" s="27" t="n"/>
      <c r="BR146" s="27" t="n"/>
      <c r="BS146" s="27" t="n"/>
      <c r="BT146" s="27" t="n"/>
      <c r="BU146" s="27" t="n"/>
      <c r="BV146" s="27" t="n"/>
      <c r="BW146" s="27" t="n"/>
      <c r="BX146" s="27" t="n"/>
      <c r="BY146" s="27" t="n"/>
      <c r="BZ146" s="27" t="n"/>
      <c r="CA146" s="27" t="n"/>
      <c r="CB146" s="27" t="n"/>
      <c r="CC146" s="27" t="n"/>
      <c r="CD146" s="27" t="n"/>
      <c r="CE146" s="27" t="n"/>
      <c r="CF146" s="27" t="n"/>
      <c r="CG146" s="27" t="n"/>
      <c r="CH146" s="27" t="n"/>
      <c r="CI146" s="27" t="n"/>
      <c r="CJ146" s="27" t="n"/>
      <c r="CK146" s="27" t="n"/>
      <c r="CL146" s="27" t="n"/>
      <c r="CM146" s="27" t="n"/>
      <c r="CN146" s="27" t="n"/>
      <c r="CO146" s="27" t="n"/>
      <c r="CP146" s="27" t="n"/>
      <c r="CQ146" s="27" t="n"/>
      <c r="CR146" s="27" t="n"/>
      <c r="CS146" s="27" t="n"/>
      <c r="CT146" s="27" t="n"/>
      <c r="CU146" s="27" t="n"/>
      <c r="CV146" s="27" t="n"/>
      <c r="CW146" s="27" t="n"/>
      <c r="CX146" s="27" t="n"/>
      <c r="CY146" s="27" t="n"/>
      <c r="CZ146" s="27" t="n"/>
      <c r="DA146" s="27" t="n"/>
      <c r="DB146" s="27" t="n"/>
      <c r="DC146" s="27" t="n"/>
      <c r="DD146" s="27" t="n"/>
      <c r="DE146" s="27" t="n"/>
      <c r="DF146" s="27" t="n"/>
      <c r="DG146" s="27" t="n"/>
      <c r="DH146" s="27" t="n"/>
      <c r="DI146" s="27" t="n"/>
      <c r="DJ146" s="27" t="n"/>
      <c r="DK146" s="27" t="n"/>
      <c r="DL146" s="27" t="n"/>
      <c r="DM146" s="27" t="n"/>
      <c r="DN146" s="27" t="n"/>
      <c r="DO146" s="27" t="n"/>
      <c r="DP146" s="27" t="n"/>
      <c r="DQ146" s="27" t="n"/>
      <c r="DR146" s="27" t="n"/>
      <c r="DS146" s="27" t="n"/>
      <c r="DT146" s="27" t="n"/>
      <c r="DU146" s="27" t="n"/>
      <c r="DV146" s="27" t="n"/>
      <c r="DW146" s="27" t="n"/>
      <c r="DX146" s="27" t="n"/>
      <c r="DY146" s="27" t="n"/>
      <c r="DZ146" s="27" t="n"/>
      <c r="EA146" s="27" t="n"/>
      <c r="EB146" s="27" t="n"/>
      <c r="EC146" s="27" t="n"/>
      <c r="ED146" s="27" t="n"/>
      <c r="EE146" s="27" t="n"/>
      <c r="EF146" s="27" t="n"/>
      <c r="EG146" s="27" t="n"/>
      <c r="EH146" s="27" t="n"/>
      <c r="EI146" s="27" t="n"/>
      <c r="EJ146" s="27" t="n"/>
      <c r="EK146" s="27" t="n"/>
      <c r="EL146" s="27" t="n"/>
      <c r="EM146" s="27" t="n"/>
      <c r="EN146" s="27" t="n"/>
      <c r="EO146" s="27" t="n"/>
      <c r="EP146" s="27" t="n"/>
      <c r="EQ146" s="27" t="n"/>
      <c r="ER146" s="27" t="n"/>
      <c r="ES146" s="27" t="n"/>
      <c r="ET146" s="27" t="n"/>
      <c r="EU146" s="27" t="n"/>
      <c r="EV146" s="27" t="n"/>
      <c r="EW146" s="27" t="n"/>
      <c r="EX146" s="27" t="n"/>
      <c r="EY146" s="27" t="n"/>
      <c r="EZ146" s="27" t="n"/>
      <c r="FA146" s="27" t="n"/>
      <c r="FB146" s="27" t="n"/>
      <c r="FC146" s="27" t="n"/>
      <c r="FD146" s="27" t="n"/>
      <c r="FE146" s="27" t="n"/>
      <c r="FF146" s="27" t="n"/>
      <c r="FG146" s="27" t="n"/>
      <c r="FH146" s="27" t="n"/>
      <c r="FI146" s="27" t="n"/>
      <c r="FJ146" s="27" t="n"/>
      <c r="FK146" s="27" t="n"/>
      <c r="FL146" s="27" t="n"/>
      <c r="FM146" s="27" t="n"/>
      <c r="FN146" s="27" t="n"/>
      <c r="FO146" s="27" t="n"/>
      <c r="FP146" s="27" t="n"/>
      <c r="FQ146" s="27" t="n"/>
      <c r="FR146" s="27" t="n"/>
      <c r="FS146" s="27" t="n"/>
      <c r="FT146" s="27" t="n"/>
      <c r="FU146" s="27" t="n"/>
      <c r="FV146" s="27" t="n"/>
      <c r="FW146" s="27" t="n"/>
      <c r="FX146" s="27" t="n"/>
      <c r="FY146" s="27" t="n"/>
      <c r="FZ146" s="27" t="n"/>
      <c r="GA146" s="27" t="n"/>
      <c r="GB146" s="27" t="n"/>
      <c r="GC146" s="27" t="n"/>
      <c r="GD146" s="27" t="n"/>
      <c r="GE146" s="27" t="n"/>
      <c r="GF146" s="27" t="n"/>
      <c r="GG146" s="27" t="n"/>
      <c r="GH146" s="27" t="n"/>
      <c r="GI146" s="27" t="n"/>
      <c r="GJ146" s="27" t="n"/>
      <c r="GK146" s="27" t="n"/>
      <c r="GL146" s="27" t="n"/>
      <c r="GM146" s="27" t="n"/>
      <c r="GN146" s="27" t="n"/>
      <c r="GO146" s="27" t="n"/>
      <c r="GP146" s="27" t="n"/>
      <c r="GQ146" s="27" t="n"/>
      <c r="GR146" s="27" t="n"/>
      <c r="GS146" s="27" t="n"/>
      <c r="GT146" s="27" t="n"/>
      <c r="GU146" s="27" t="n"/>
      <c r="GV146" s="27" t="n"/>
      <c r="GW146" s="27" t="n"/>
      <c r="GX146" s="27" t="n"/>
      <c r="GY146" s="27" t="n"/>
      <c r="GZ146" s="27" t="n"/>
      <c r="HA146" s="27" t="n"/>
      <c r="HB146" s="27" t="n"/>
      <c r="HC146" s="27" t="n"/>
      <c r="HD146" s="27" t="n"/>
      <c r="HE146" s="27" t="n"/>
      <c r="HF146" s="27" t="n"/>
      <c r="HG146" s="27" t="n"/>
      <c r="HH146" s="27" t="n"/>
      <c r="HI146" s="27" t="n"/>
      <c r="HJ146" s="27" t="n"/>
      <c r="HK146" s="27" t="n"/>
      <c r="HL146" s="27" t="n"/>
      <c r="HM146" s="27" t="n"/>
      <c r="HN146" s="27" t="n"/>
      <c r="HO146" s="27" t="n"/>
      <c r="HP146" s="27" t="n"/>
      <c r="HQ146" s="27" t="n"/>
      <c r="HR146" s="27" t="n"/>
      <c r="HS146" s="27" t="n"/>
      <c r="HT146" s="27" t="n"/>
      <c r="HU146" s="27" t="n"/>
      <c r="HV146" s="27" t="n"/>
      <c r="HW146" s="27" t="n"/>
      <c r="HX146" s="27" t="n"/>
      <c r="HY146" s="27" t="n"/>
      <c r="HZ146" s="27" t="n"/>
      <c r="IA146" s="27" t="n"/>
      <c r="IB146" s="27" t="n"/>
      <c r="IC146" s="27" t="n"/>
      <c r="ID146" s="27" t="n"/>
      <c r="IE146" s="27" t="n"/>
      <c r="IF146" s="27" t="n"/>
      <c r="IG146" s="27" t="n"/>
      <c r="IH146" s="27" t="n"/>
      <c r="II146" s="27" t="n"/>
      <c r="IJ146" s="27" t="n"/>
      <c r="IK146" s="27" t="n"/>
      <c r="IL146" s="27" t="n"/>
      <c r="IM146" s="27" t="n"/>
      <c r="IN146" s="27" t="n"/>
      <c r="IO146" s="27" t="n"/>
      <c r="IP146" s="27" t="n"/>
      <c r="IQ146" s="27" t="n"/>
      <c r="IR146" s="27" t="n"/>
      <c r="IS146" s="27" t="n"/>
      <c r="IT146" s="27" t="n"/>
      <c r="IU146" s="27" t="n"/>
      <c r="IV146" s="27" t="n"/>
    </row>
    <row r="147" ht="13" customHeight="1" s="195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  <c r="AA147" s="27" t="n"/>
      <c r="AB147" s="27" t="n"/>
      <c r="AC147" s="27" t="n"/>
      <c r="AD147" s="27" t="n"/>
      <c r="AE147" s="27" t="n"/>
      <c r="AF147" s="27" t="n"/>
      <c r="AG147" s="27" t="n"/>
      <c r="AH147" s="27" t="n"/>
      <c r="AI147" s="27" t="n"/>
      <c r="AJ147" s="27" t="n"/>
      <c r="AK147" s="27" t="n"/>
      <c r="AL147" s="27" t="n"/>
      <c r="AM147" s="27" t="n"/>
      <c r="AN147" s="27" t="n"/>
      <c r="AO147" s="27" t="n"/>
      <c r="AP147" s="27" t="n"/>
      <c r="AQ147" s="27" t="n"/>
      <c r="AR147" s="27" t="n"/>
      <c r="AS147" s="27" t="n"/>
      <c r="AT147" s="27" t="n"/>
      <c r="AU147" s="27" t="n"/>
      <c r="AV147" s="27" t="n"/>
      <c r="AW147" s="27" t="n"/>
      <c r="AX147" s="27" t="n"/>
      <c r="AY147" s="27" t="n"/>
      <c r="AZ147" s="27" t="n"/>
      <c r="BA147" s="27" t="n"/>
      <c r="BB147" s="27" t="n"/>
      <c r="BC147" s="27" t="n"/>
      <c r="BD147" s="27" t="n"/>
      <c r="BE147" s="27" t="n"/>
      <c r="BF147" s="27" t="n"/>
      <c r="BG147" s="27" t="n"/>
      <c r="BH147" s="27" t="n"/>
      <c r="BI147" s="27" t="n"/>
      <c r="BJ147" s="27" t="n"/>
      <c r="BK147" s="27" t="n"/>
      <c r="BL147" s="27" t="n"/>
      <c r="BM147" s="27" t="n"/>
      <c r="BN147" s="27" t="n"/>
      <c r="BO147" s="27" t="n"/>
      <c r="BP147" s="27" t="n"/>
      <c r="BQ147" s="27" t="n"/>
      <c r="BR147" s="27" t="n"/>
      <c r="BS147" s="27" t="n"/>
      <c r="BT147" s="27" t="n"/>
      <c r="BU147" s="27" t="n"/>
      <c r="BV147" s="27" t="n"/>
      <c r="BW147" s="27" t="n"/>
      <c r="BX147" s="27" t="n"/>
      <c r="BY147" s="27" t="n"/>
      <c r="BZ147" s="27" t="n"/>
      <c r="CA147" s="27" t="n"/>
      <c r="CB147" s="27" t="n"/>
      <c r="CC147" s="27" t="n"/>
      <c r="CD147" s="27" t="n"/>
      <c r="CE147" s="27" t="n"/>
      <c r="CF147" s="27" t="n"/>
      <c r="CG147" s="27" t="n"/>
      <c r="CH147" s="27" t="n"/>
      <c r="CI147" s="27" t="n"/>
      <c r="CJ147" s="27" t="n"/>
      <c r="CK147" s="27" t="n"/>
      <c r="CL147" s="27" t="n"/>
      <c r="CM147" s="27" t="n"/>
      <c r="CN147" s="27" t="n"/>
      <c r="CO147" s="27" t="n"/>
      <c r="CP147" s="27" t="n"/>
      <c r="CQ147" s="27" t="n"/>
      <c r="CR147" s="27" t="n"/>
      <c r="CS147" s="27" t="n"/>
      <c r="CT147" s="27" t="n"/>
      <c r="CU147" s="27" t="n"/>
      <c r="CV147" s="27" t="n"/>
      <c r="CW147" s="27" t="n"/>
      <c r="CX147" s="27" t="n"/>
      <c r="CY147" s="27" t="n"/>
      <c r="CZ147" s="27" t="n"/>
      <c r="DA147" s="27" t="n"/>
      <c r="DB147" s="27" t="n"/>
      <c r="DC147" s="27" t="n"/>
      <c r="DD147" s="27" t="n"/>
      <c r="DE147" s="27" t="n"/>
      <c r="DF147" s="27" t="n"/>
      <c r="DG147" s="27" t="n"/>
      <c r="DH147" s="27" t="n"/>
      <c r="DI147" s="27" t="n"/>
      <c r="DJ147" s="27" t="n"/>
      <c r="DK147" s="27" t="n"/>
      <c r="DL147" s="27" t="n"/>
      <c r="DM147" s="27" t="n"/>
      <c r="DN147" s="27" t="n"/>
      <c r="DO147" s="27" t="n"/>
      <c r="DP147" s="27" t="n"/>
      <c r="DQ147" s="27" t="n"/>
      <c r="DR147" s="27" t="n"/>
      <c r="DS147" s="27" t="n"/>
      <c r="DT147" s="27" t="n"/>
      <c r="DU147" s="27" t="n"/>
      <c r="DV147" s="27" t="n"/>
      <c r="DW147" s="27" t="n"/>
      <c r="DX147" s="27" t="n"/>
      <c r="DY147" s="27" t="n"/>
      <c r="DZ147" s="27" t="n"/>
      <c r="EA147" s="27" t="n"/>
      <c r="EB147" s="27" t="n"/>
      <c r="EC147" s="27" t="n"/>
      <c r="ED147" s="27" t="n"/>
      <c r="EE147" s="27" t="n"/>
      <c r="EF147" s="27" t="n"/>
      <c r="EG147" s="27" t="n"/>
      <c r="EH147" s="27" t="n"/>
      <c r="EI147" s="27" t="n"/>
      <c r="EJ147" s="27" t="n"/>
      <c r="EK147" s="27" t="n"/>
      <c r="EL147" s="27" t="n"/>
      <c r="EM147" s="27" t="n"/>
      <c r="EN147" s="27" t="n"/>
      <c r="EO147" s="27" t="n"/>
      <c r="EP147" s="27" t="n"/>
      <c r="EQ147" s="27" t="n"/>
      <c r="ER147" s="27" t="n"/>
      <c r="ES147" s="27" t="n"/>
      <c r="ET147" s="27" t="n"/>
      <c r="EU147" s="27" t="n"/>
      <c r="EV147" s="27" t="n"/>
      <c r="EW147" s="27" t="n"/>
      <c r="EX147" s="27" t="n"/>
      <c r="EY147" s="27" t="n"/>
      <c r="EZ147" s="27" t="n"/>
      <c r="FA147" s="27" t="n"/>
      <c r="FB147" s="27" t="n"/>
      <c r="FC147" s="27" t="n"/>
      <c r="FD147" s="27" t="n"/>
      <c r="FE147" s="27" t="n"/>
      <c r="FF147" s="27" t="n"/>
      <c r="FG147" s="27" t="n"/>
      <c r="FH147" s="27" t="n"/>
      <c r="FI147" s="27" t="n"/>
      <c r="FJ147" s="27" t="n"/>
      <c r="FK147" s="27" t="n"/>
      <c r="FL147" s="27" t="n"/>
      <c r="FM147" s="27" t="n"/>
      <c r="FN147" s="27" t="n"/>
      <c r="FO147" s="27" t="n"/>
      <c r="FP147" s="27" t="n"/>
      <c r="FQ147" s="27" t="n"/>
      <c r="FR147" s="27" t="n"/>
      <c r="FS147" s="27" t="n"/>
      <c r="FT147" s="27" t="n"/>
      <c r="FU147" s="27" t="n"/>
      <c r="FV147" s="27" t="n"/>
      <c r="FW147" s="27" t="n"/>
      <c r="FX147" s="27" t="n"/>
      <c r="FY147" s="27" t="n"/>
      <c r="FZ147" s="27" t="n"/>
      <c r="GA147" s="27" t="n"/>
      <c r="GB147" s="27" t="n"/>
      <c r="GC147" s="27" t="n"/>
      <c r="GD147" s="27" t="n"/>
      <c r="GE147" s="27" t="n"/>
      <c r="GF147" s="27" t="n"/>
      <c r="GG147" s="27" t="n"/>
      <c r="GH147" s="27" t="n"/>
      <c r="GI147" s="27" t="n"/>
      <c r="GJ147" s="27" t="n"/>
      <c r="GK147" s="27" t="n"/>
      <c r="GL147" s="27" t="n"/>
      <c r="GM147" s="27" t="n"/>
      <c r="GN147" s="27" t="n"/>
      <c r="GO147" s="27" t="n"/>
      <c r="GP147" s="27" t="n"/>
      <c r="GQ147" s="27" t="n"/>
      <c r="GR147" s="27" t="n"/>
      <c r="GS147" s="27" t="n"/>
      <c r="GT147" s="27" t="n"/>
      <c r="GU147" s="27" t="n"/>
      <c r="GV147" s="27" t="n"/>
      <c r="GW147" s="27" t="n"/>
      <c r="GX147" s="27" t="n"/>
      <c r="GY147" s="27" t="n"/>
      <c r="GZ147" s="27" t="n"/>
      <c r="HA147" s="27" t="n"/>
      <c r="HB147" s="27" t="n"/>
      <c r="HC147" s="27" t="n"/>
      <c r="HD147" s="27" t="n"/>
      <c r="HE147" s="27" t="n"/>
      <c r="HF147" s="27" t="n"/>
      <c r="HG147" s="27" t="n"/>
      <c r="HH147" s="27" t="n"/>
      <c r="HI147" s="27" t="n"/>
      <c r="HJ147" s="27" t="n"/>
      <c r="HK147" s="27" t="n"/>
      <c r="HL147" s="27" t="n"/>
      <c r="HM147" s="27" t="n"/>
      <c r="HN147" s="27" t="n"/>
      <c r="HO147" s="27" t="n"/>
      <c r="HP147" s="27" t="n"/>
      <c r="HQ147" s="27" t="n"/>
      <c r="HR147" s="27" t="n"/>
      <c r="HS147" s="27" t="n"/>
      <c r="HT147" s="27" t="n"/>
      <c r="HU147" s="27" t="n"/>
      <c r="HV147" s="27" t="n"/>
      <c r="HW147" s="27" t="n"/>
      <c r="HX147" s="27" t="n"/>
      <c r="HY147" s="27" t="n"/>
      <c r="HZ147" s="27" t="n"/>
      <c r="IA147" s="27" t="n"/>
      <c r="IB147" s="27" t="n"/>
      <c r="IC147" s="27" t="n"/>
      <c r="ID147" s="27" t="n"/>
      <c r="IE147" s="27" t="n"/>
      <c r="IF147" s="27" t="n"/>
      <c r="IG147" s="27" t="n"/>
      <c r="IH147" s="27" t="n"/>
      <c r="II147" s="27" t="n"/>
      <c r="IJ147" s="27" t="n"/>
      <c r="IK147" s="27" t="n"/>
      <c r="IL147" s="27" t="n"/>
      <c r="IM147" s="27" t="n"/>
      <c r="IN147" s="27" t="n"/>
      <c r="IO147" s="27" t="n"/>
      <c r="IP147" s="27" t="n"/>
      <c r="IQ147" s="27" t="n"/>
      <c r="IR147" s="27" t="n"/>
      <c r="IS147" s="27" t="n"/>
      <c r="IT147" s="27" t="n"/>
      <c r="IU147" s="27" t="n"/>
      <c r="IV147" s="27" t="n"/>
    </row>
    <row r="148" ht="13" customHeight="1" s="195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  <c r="AA148" s="27" t="n"/>
      <c r="AB148" s="27" t="n"/>
      <c r="AC148" s="27" t="n"/>
      <c r="AD148" s="27" t="n"/>
      <c r="AE148" s="27" t="n"/>
      <c r="AF148" s="27" t="n"/>
      <c r="AG148" s="27" t="n"/>
      <c r="AH148" s="27" t="n"/>
      <c r="AI148" s="27" t="n"/>
      <c r="AJ148" s="27" t="n"/>
      <c r="AK148" s="27" t="n"/>
      <c r="AL148" s="27" t="n"/>
      <c r="AM148" s="27" t="n"/>
      <c r="AN148" s="27" t="n"/>
      <c r="AO148" s="27" t="n"/>
      <c r="AP148" s="27" t="n"/>
      <c r="AQ148" s="27" t="n"/>
      <c r="AR148" s="27" t="n"/>
      <c r="AS148" s="27" t="n"/>
      <c r="AT148" s="27" t="n"/>
      <c r="AU148" s="27" t="n"/>
      <c r="AV148" s="27" t="n"/>
      <c r="AW148" s="27" t="n"/>
      <c r="AX148" s="27" t="n"/>
      <c r="AY148" s="27" t="n"/>
      <c r="AZ148" s="27" t="n"/>
      <c r="BA148" s="27" t="n"/>
      <c r="BB148" s="27" t="n"/>
      <c r="BC148" s="27" t="n"/>
      <c r="BD148" s="27" t="n"/>
      <c r="BE148" s="27" t="n"/>
      <c r="BF148" s="27" t="n"/>
      <c r="BG148" s="27" t="n"/>
      <c r="BH148" s="27" t="n"/>
      <c r="BI148" s="27" t="n"/>
      <c r="BJ148" s="27" t="n"/>
      <c r="BK148" s="27" t="n"/>
      <c r="BL148" s="27" t="n"/>
      <c r="BM148" s="27" t="n"/>
      <c r="BN148" s="27" t="n"/>
      <c r="BO148" s="27" t="n"/>
      <c r="BP148" s="27" t="n"/>
      <c r="BQ148" s="27" t="n"/>
      <c r="BR148" s="27" t="n"/>
      <c r="BS148" s="27" t="n"/>
      <c r="BT148" s="27" t="n"/>
      <c r="BU148" s="27" t="n"/>
      <c r="BV148" s="27" t="n"/>
      <c r="BW148" s="27" t="n"/>
      <c r="BX148" s="27" t="n"/>
      <c r="BY148" s="27" t="n"/>
      <c r="BZ148" s="27" t="n"/>
      <c r="CA148" s="27" t="n"/>
      <c r="CB148" s="27" t="n"/>
      <c r="CC148" s="27" t="n"/>
      <c r="CD148" s="27" t="n"/>
      <c r="CE148" s="27" t="n"/>
      <c r="CF148" s="27" t="n"/>
      <c r="CG148" s="27" t="n"/>
      <c r="CH148" s="27" t="n"/>
      <c r="CI148" s="27" t="n"/>
      <c r="CJ148" s="27" t="n"/>
      <c r="CK148" s="27" t="n"/>
      <c r="CL148" s="27" t="n"/>
      <c r="CM148" s="27" t="n"/>
      <c r="CN148" s="27" t="n"/>
      <c r="CO148" s="27" t="n"/>
      <c r="CP148" s="27" t="n"/>
      <c r="CQ148" s="27" t="n"/>
      <c r="CR148" s="27" t="n"/>
      <c r="CS148" s="27" t="n"/>
      <c r="CT148" s="27" t="n"/>
      <c r="CU148" s="27" t="n"/>
      <c r="CV148" s="27" t="n"/>
      <c r="CW148" s="27" t="n"/>
      <c r="CX148" s="27" t="n"/>
      <c r="CY148" s="27" t="n"/>
      <c r="CZ148" s="27" t="n"/>
      <c r="DA148" s="27" t="n"/>
      <c r="DB148" s="27" t="n"/>
      <c r="DC148" s="27" t="n"/>
      <c r="DD148" s="27" t="n"/>
      <c r="DE148" s="27" t="n"/>
      <c r="DF148" s="27" t="n"/>
      <c r="DG148" s="27" t="n"/>
      <c r="DH148" s="27" t="n"/>
      <c r="DI148" s="27" t="n"/>
      <c r="DJ148" s="27" t="n"/>
      <c r="DK148" s="27" t="n"/>
      <c r="DL148" s="27" t="n"/>
      <c r="DM148" s="27" t="n"/>
      <c r="DN148" s="27" t="n"/>
      <c r="DO148" s="27" t="n"/>
      <c r="DP148" s="27" t="n"/>
      <c r="DQ148" s="27" t="n"/>
      <c r="DR148" s="27" t="n"/>
      <c r="DS148" s="27" t="n"/>
      <c r="DT148" s="27" t="n"/>
      <c r="DU148" s="27" t="n"/>
      <c r="DV148" s="27" t="n"/>
      <c r="DW148" s="27" t="n"/>
      <c r="DX148" s="27" t="n"/>
      <c r="DY148" s="27" t="n"/>
      <c r="DZ148" s="27" t="n"/>
      <c r="EA148" s="27" t="n"/>
      <c r="EB148" s="27" t="n"/>
      <c r="EC148" s="27" t="n"/>
      <c r="ED148" s="27" t="n"/>
      <c r="EE148" s="27" t="n"/>
      <c r="EF148" s="27" t="n"/>
      <c r="EG148" s="27" t="n"/>
      <c r="EH148" s="27" t="n"/>
      <c r="EI148" s="27" t="n"/>
      <c r="EJ148" s="27" t="n"/>
      <c r="EK148" s="27" t="n"/>
      <c r="EL148" s="27" t="n"/>
      <c r="EM148" s="27" t="n"/>
      <c r="EN148" s="27" t="n"/>
      <c r="EO148" s="27" t="n"/>
      <c r="EP148" s="27" t="n"/>
      <c r="EQ148" s="27" t="n"/>
      <c r="ER148" s="27" t="n"/>
      <c r="ES148" s="27" t="n"/>
      <c r="ET148" s="27" t="n"/>
      <c r="EU148" s="27" t="n"/>
      <c r="EV148" s="27" t="n"/>
      <c r="EW148" s="27" t="n"/>
      <c r="EX148" s="27" t="n"/>
      <c r="EY148" s="27" t="n"/>
      <c r="EZ148" s="27" t="n"/>
      <c r="FA148" s="27" t="n"/>
      <c r="FB148" s="27" t="n"/>
      <c r="FC148" s="27" t="n"/>
      <c r="FD148" s="27" t="n"/>
      <c r="FE148" s="27" t="n"/>
      <c r="FF148" s="27" t="n"/>
      <c r="FG148" s="27" t="n"/>
      <c r="FH148" s="27" t="n"/>
      <c r="FI148" s="27" t="n"/>
      <c r="FJ148" s="27" t="n"/>
      <c r="FK148" s="27" t="n"/>
      <c r="FL148" s="27" t="n"/>
      <c r="FM148" s="27" t="n"/>
      <c r="FN148" s="27" t="n"/>
      <c r="FO148" s="27" t="n"/>
      <c r="FP148" s="27" t="n"/>
      <c r="FQ148" s="27" t="n"/>
      <c r="FR148" s="27" t="n"/>
      <c r="FS148" s="27" t="n"/>
      <c r="FT148" s="27" t="n"/>
      <c r="FU148" s="27" t="n"/>
      <c r="FV148" s="27" t="n"/>
      <c r="FW148" s="27" t="n"/>
      <c r="FX148" s="27" t="n"/>
      <c r="FY148" s="27" t="n"/>
      <c r="FZ148" s="27" t="n"/>
      <c r="GA148" s="27" t="n"/>
      <c r="GB148" s="27" t="n"/>
      <c r="GC148" s="27" t="n"/>
      <c r="GD148" s="27" t="n"/>
      <c r="GE148" s="27" t="n"/>
      <c r="GF148" s="27" t="n"/>
      <c r="GG148" s="27" t="n"/>
      <c r="GH148" s="27" t="n"/>
      <c r="GI148" s="27" t="n"/>
      <c r="GJ148" s="27" t="n"/>
      <c r="GK148" s="27" t="n"/>
      <c r="GL148" s="27" t="n"/>
      <c r="GM148" s="27" t="n"/>
      <c r="GN148" s="27" t="n"/>
      <c r="GO148" s="27" t="n"/>
      <c r="GP148" s="27" t="n"/>
      <c r="GQ148" s="27" t="n"/>
      <c r="GR148" s="27" t="n"/>
      <c r="GS148" s="27" t="n"/>
      <c r="GT148" s="27" t="n"/>
      <c r="GU148" s="27" t="n"/>
      <c r="GV148" s="27" t="n"/>
      <c r="GW148" s="27" t="n"/>
      <c r="GX148" s="27" t="n"/>
      <c r="GY148" s="27" t="n"/>
      <c r="GZ148" s="27" t="n"/>
      <c r="HA148" s="27" t="n"/>
      <c r="HB148" s="27" t="n"/>
      <c r="HC148" s="27" t="n"/>
      <c r="HD148" s="27" t="n"/>
      <c r="HE148" s="27" t="n"/>
      <c r="HF148" s="27" t="n"/>
      <c r="HG148" s="27" t="n"/>
      <c r="HH148" s="27" t="n"/>
      <c r="HI148" s="27" t="n"/>
      <c r="HJ148" s="27" t="n"/>
      <c r="HK148" s="27" t="n"/>
      <c r="HL148" s="27" t="n"/>
      <c r="HM148" s="27" t="n"/>
      <c r="HN148" s="27" t="n"/>
      <c r="HO148" s="27" t="n"/>
      <c r="HP148" s="27" t="n"/>
      <c r="HQ148" s="27" t="n"/>
      <c r="HR148" s="27" t="n"/>
      <c r="HS148" s="27" t="n"/>
      <c r="HT148" s="27" t="n"/>
      <c r="HU148" s="27" t="n"/>
      <c r="HV148" s="27" t="n"/>
      <c r="HW148" s="27" t="n"/>
      <c r="HX148" s="27" t="n"/>
      <c r="HY148" s="27" t="n"/>
      <c r="HZ148" s="27" t="n"/>
      <c r="IA148" s="27" t="n"/>
      <c r="IB148" s="27" t="n"/>
      <c r="IC148" s="27" t="n"/>
      <c r="ID148" s="27" t="n"/>
      <c r="IE148" s="27" t="n"/>
      <c r="IF148" s="27" t="n"/>
      <c r="IG148" s="27" t="n"/>
      <c r="IH148" s="27" t="n"/>
      <c r="II148" s="27" t="n"/>
      <c r="IJ148" s="27" t="n"/>
      <c r="IK148" s="27" t="n"/>
      <c r="IL148" s="27" t="n"/>
      <c r="IM148" s="27" t="n"/>
      <c r="IN148" s="27" t="n"/>
      <c r="IO148" s="27" t="n"/>
      <c r="IP148" s="27" t="n"/>
      <c r="IQ148" s="27" t="n"/>
      <c r="IR148" s="27" t="n"/>
      <c r="IS148" s="27" t="n"/>
      <c r="IT148" s="27" t="n"/>
      <c r="IU148" s="27" t="n"/>
      <c r="IV148" s="27" t="n"/>
    </row>
    <row r="149" ht="13" customHeight="1" s="195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  <c r="AA149" s="27" t="n"/>
      <c r="AB149" s="27" t="n"/>
      <c r="AC149" s="27" t="n"/>
      <c r="AD149" s="27" t="n"/>
      <c r="AE149" s="27" t="n"/>
      <c r="AF149" s="27" t="n"/>
      <c r="AG149" s="27" t="n"/>
      <c r="AH149" s="27" t="n"/>
      <c r="AI149" s="27" t="n"/>
      <c r="AJ149" s="27" t="n"/>
      <c r="AK149" s="27" t="n"/>
      <c r="AL149" s="27" t="n"/>
      <c r="AM149" s="27" t="n"/>
      <c r="AN149" s="27" t="n"/>
      <c r="AO149" s="27" t="n"/>
      <c r="AP149" s="27" t="n"/>
      <c r="AQ149" s="27" t="n"/>
      <c r="AR149" s="27" t="n"/>
      <c r="AS149" s="27" t="n"/>
      <c r="AT149" s="27" t="n"/>
      <c r="AU149" s="27" t="n"/>
      <c r="AV149" s="27" t="n"/>
      <c r="AW149" s="27" t="n"/>
      <c r="AX149" s="27" t="n"/>
      <c r="AY149" s="27" t="n"/>
      <c r="AZ149" s="27" t="n"/>
      <c r="BA149" s="27" t="n"/>
      <c r="BB149" s="27" t="n"/>
      <c r="BC149" s="27" t="n"/>
      <c r="BD149" s="27" t="n"/>
      <c r="BE149" s="27" t="n"/>
      <c r="BF149" s="27" t="n"/>
      <c r="BG149" s="27" t="n"/>
      <c r="BH149" s="27" t="n"/>
      <c r="BI149" s="27" t="n"/>
      <c r="BJ149" s="27" t="n"/>
      <c r="BK149" s="27" t="n"/>
      <c r="BL149" s="27" t="n"/>
      <c r="BM149" s="27" t="n"/>
      <c r="BN149" s="27" t="n"/>
      <c r="BO149" s="27" t="n"/>
      <c r="BP149" s="27" t="n"/>
      <c r="BQ149" s="27" t="n"/>
      <c r="BR149" s="27" t="n"/>
      <c r="BS149" s="27" t="n"/>
      <c r="BT149" s="27" t="n"/>
      <c r="BU149" s="27" t="n"/>
      <c r="BV149" s="27" t="n"/>
      <c r="BW149" s="27" t="n"/>
      <c r="BX149" s="27" t="n"/>
      <c r="BY149" s="27" t="n"/>
      <c r="BZ149" s="27" t="n"/>
      <c r="CA149" s="27" t="n"/>
      <c r="CB149" s="27" t="n"/>
      <c r="CC149" s="27" t="n"/>
      <c r="CD149" s="27" t="n"/>
      <c r="CE149" s="27" t="n"/>
      <c r="CF149" s="27" t="n"/>
      <c r="CG149" s="27" t="n"/>
      <c r="CH149" s="27" t="n"/>
      <c r="CI149" s="27" t="n"/>
      <c r="CJ149" s="27" t="n"/>
      <c r="CK149" s="27" t="n"/>
      <c r="CL149" s="27" t="n"/>
      <c r="CM149" s="27" t="n"/>
      <c r="CN149" s="27" t="n"/>
      <c r="CO149" s="27" t="n"/>
      <c r="CP149" s="27" t="n"/>
      <c r="CQ149" s="27" t="n"/>
      <c r="CR149" s="27" t="n"/>
      <c r="CS149" s="27" t="n"/>
      <c r="CT149" s="27" t="n"/>
      <c r="CU149" s="27" t="n"/>
      <c r="CV149" s="27" t="n"/>
      <c r="CW149" s="27" t="n"/>
      <c r="CX149" s="27" t="n"/>
      <c r="CY149" s="27" t="n"/>
      <c r="CZ149" s="27" t="n"/>
      <c r="DA149" s="27" t="n"/>
      <c r="DB149" s="27" t="n"/>
      <c r="DC149" s="27" t="n"/>
      <c r="DD149" s="27" t="n"/>
      <c r="DE149" s="27" t="n"/>
      <c r="DF149" s="27" t="n"/>
      <c r="DG149" s="27" t="n"/>
      <c r="DH149" s="27" t="n"/>
      <c r="DI149" s="27" t="n"/>
      <c r="DJ149" s="27" t="n"/>
      <c r="DK149" s="27" t="n"/>
      <c r="DL149" s="27" t="n"/>
      <c r="DM149" s="27" t="n"/>
      <c r="DN149" s="27" t="n"/>
      <c r="DO149" s="27" t="n"/>
      <c r="DP149" s="27" t="n"/>
      <c r="DQ149" s="27" t="n"/>
      <c r="DR149" s="27" t="n"/>
      <c r="DS149" s="27" t="n"/>
      <c r="DT149" s="27" t="n"/>
      <c r="DU149" s="27" t="n"/>
      <c r="DV149" s="27" t="n"/>
      <c r="DW149" s="27" t="n"/>
      <c r="DX149" s="27" t="n"/>
      <c r="DY149" s="27" t="n"/>
      <c r="DZ149" s="27" t="n"/>
      <c r="EA149" s="27" t="n"/>
      <c r="EB149" s="27" t="n"/>
      <c r="EC149" s="27" t="n"/>
      <c r="ED149" s="27" t="n"/>
      <c r="EE149" s="27" t="n"/>
      <c r="EF149" s="27" t="n"/>
      <c r="EG149" s="27" t="n"/>
      <c r="EH149" s="27" t="n"/>
      <c r="EI149" s="27" t="n"/>
      <c r="EJ149" s="27" t="n"/>
      <c r="EK149" s="27" t="n"/>
      <c r="EL149" s="27" t="n"/>
      <c r="EM149" s="27" t="n"/>
      <c r="EN149" s="27" t="n"/>
      <c r="EO149" s="27" t="n"/>
      <c r="EP149" s="27" t="n"/>
      <c r="EQ149" s="27" t="n"/>
      <c r="ER149" s="27" t="n"/>
      <c r="ES149" s="27" t="n"/>
      <c r="ET149" s="27" t="n"/>
      <c r="EU149" s="27" t="n"/>
      <c r="EV149" s="27" t="n"/>
      <c r="EW149" s="27" t="n"/>
      <c r="EX149" s="27" t="n"/>
      <c r="EY149" s="27" t="n"/>
      <c r="EZ149" s="27" t="n"/>
      <c r="FA149" s="27" t="n"/>
      <c r="FB149" s="27" t="n"/>
      <c r="FC149" s="27" t="n"/>
      <c r="FD149" s="27" t="n"/>
      <c r="FE149" s="27" t="n"/>
      <c r="FF149" s="27" t="n"/>
      <c r="FG149" s="27" t="n"/>
      <c r="FH149" s="27" t="n"/>
      <c r="FI149" s="27" t="n"/>
      <c r="FJ149" s="27" t="n"/>
      <c r="FK149" s="27" t="n"/>
      <c r="FL149" s="27" t="n"/>
      <c r="FM149" s="27" t="n"/>
      <c r="FN149" s="27" t="n"/>
      <c r="FO149" s="27" t="n"/>
      <c r="FP149" s="27" t="n"/>
      <c r="FQ149" s="27" t="n"/>
      <c r="FR149" s="27" t="n"/>
      <c r="FS149" s="27" t="n"/>
      <c r="FT149" s="27" t="n"/>
      <c r="FU149" s="27" t="n"/>
      <c r="FV149" s="27" t="n"/>
      <c r="FW149" s="27" t="n"/>
      <c r="FX149" s="27" t="n"/>
      <c r="FY149" s="27" t="n"/>
      <c r="FZ149" s="27" t="n"/>
      <c r="GA149" s="27" t="n"/>
      <c r="GB149" s="27" t="n"/>
      <c r="GC149" s="27" t="n"/>
      <c r="GD149" s="27" t="n"/>
      <c r="GE149" s="27" t="n"/>
      <c r="GF149" s="27" t="n"/>
      <c r="GG149" s="27" t="n"/>
      <c r="GH149" s="27" t="n"/>
      <c r="GI149" s="27" t="n"/>
      <c r="GJ149" s="27" t="n"/>
      <c r="GK149" s="27" t="n"/>
      <c r="GL149" s="27" t="n"/>
      <c r="GM149" s="27" t="n"/>
      <c r="GN149" s="27" t="n"/>
      <c r="GO149" s="27" t="n"/>
      <c r="GP149" s="27" t="n"/>
      <c r="GQ149" s="27" t="n"/>
      <c r="GR149" s="27" t="n"/>
      <c r="GS149" s="27" t="n"/>
      <c r="GT149" s="27" t="n"/>
      <c r="GU149" s="27" t="n"/>
      <c r="GV149" s="27" t="n"/>
      <c r="GW149" s="27" t="n"/>
      <c r="GX149" s="27" t="n"/>
      <c r="GY149" s="27" t="n"/>
      <c r="GZ149" s="27" t="n"/>
      <c r="HA149" s="27" t="n"/>
      <c r="HB149" s="27" t="n"/>
      <c r="HC149" s="27" t="n"/>
      <c r="HD149" s="27" t="n"/>
      <c r="HE149" s="27" t="n"/>
      <c r="HF149" s="27" t="n"/>
      <c r="HG149" s="27" t="n"/>
      <c r="HH149" s="27" t="n"/>
      <c r="HI149" s="27" t="n"/>
      <c r="HJ149" s="27" t="n"/>
      <c r="HK149" s="27" t="n"/>
      <c r="HL149" s="27" t="n"/>
      <c r="HM149" s="27" t="n"/>
      <c r="HN149" s="27" t="n"/>
      <c r="HO149" s="27" t="n"/>
      <c r="HP149" s="27" t="n"/>
      <c r="HQ149" s="27" t="n"/>
      <c r="HR149" s="27" t="n"/>
      <c r="HS149" s="27" t="n"/>
      <c r="HT149" s="27" t="n"/>
      <c r="HU149" s="27" t="n"/>
      <c r="HV149" s="27" t="n"/>
      <c r="HW149" s="27" t="n"/>
      <c r="HX149" s="27" t="n"/>
      <c r="HY149" s="27" t="n"/>
      <c r="HZ149" s="27" t="n"/>
      <c r="IA149" s="27" t="n"/>
      <c r="IB149" s="27" t="n"/>
      <c r="IC149" s="27" t="n"/>
      <c r="ID149" s="27" t="n"/>
      <c r="IE149" s="27" t="n"/>
      <c r="IF149" s="27" t="n"/>
      <c r="IG149" s="27" t="n"/>
      <c r="IH149" s="27" t="n"/>
      <c r="II149" s="27" t="n"/>
      <c r="IJ149" s="27" t="n"/>
      <c r="IK149" s="27" t="n"/>
      <c r="IL149" s="27" t="n"/>
      <c r="IM149" s="27" t="n"/>
      <c r="IN149" s="27" t="n"/>
      <c r="IO149" s="27" t="n"/>
      <c r="IP149" s="27" t="n"/>
      <c r="IQ149" s="27" t="n"/>
      <c r="IR149" s="27" t="n"/>
      <c r="IS149" s="27" t="n"/>
      <c r="IT149" s="27" t="n"/>
      <c r="IU149" s="27" t="n"/>
      <c r="IV149" s="27" t="n"/>
    </row>
    <row r="150" ht="13" customHeight="1" s="195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  <c r="AA150" s="27" t="n"/>
      <c r="AB150" s="27" t="n"/>
      <c r="AC150" s="27" t="n"/>
      <c r="AD150" s="27" t="n"/>
      <c r="AE150" s="27" t="n"/>
      <c r="AF150" s="27" t="n"/>
      <c r="AG150" s="27" t="n"/>
      <c r="AH150" s="27" t="n"/>
      <c r="AI150" s="27" t="n"/>
      <c r="AJ150" s="27" t="n"/>
      <c r="AK150" s="27" t="n"/>
      <c r="AL150" s="27" t="n"/>
      <c r="AM150" s="27" t="n"/>
      <c r="AN150" s="27" t="n"/>
      <c r="AO150" s="27" t="n"/>
      <c r="AP150" s="27" t="n"/>
      <c r="AQ150" s="27" t="n"/>
      <c r="AR150" s="27" t="n"/>
      <c r="AS150" s="27" t="n"/>
      <c r="AT150" s="27" t="n"/>
      <c r="AU150" s="27" t="n"/>
      <c r="AV150" s="27" t="n"/>
      <c r="AW150" s="27" t="n"/>
      <c r="AX150" s="27" t="n"/>
      <c r="AY150" s="27" t="n"/>
      <c r="AZ150" s="27" t="n"/>
      <c r="BA150" s="27" t="n"/>
      <c r="BB150" s="27" t="n"/>
      <c r="BC150" s="27" t="n"/>
      <c r="BD150" s="27" t="n"/>
      <c r="BE150" s="27" t="n"/>
      <c r="BF150" s="27" t="n"/>
      <c r="BG150" s="27" t="n"/>
      <c r="BH150" s="27" t="n"/>
      <c r="BI150" s="27" t="n"/>
      <c r="BJ150" s="27" t="n"/>
      <c r="BK150" s="27" t="n"/>
      <c r="BL150" s="27" t="n"/>
      <c r="BM150" s="27" t="n"/>
      <c r="BN150" s="27" t="n"/>
      <c r="BO150" s="27" t="n"/>
      <c r="BP150" s="27" t="n"/>
      <c r="BQ150" s="27" t="n"/>
      <c r="BR150" s="27" t="n"/>
      <c r="BS150" s="27" t="n"/>
      <c r="BT150" s="27" t="n"/>
      <c r="BU150" s="27" t="n"/>
      <c r="BV150" s="27" t="n"/>
      <c r="BW150" s="27" t="n"/>
      <c r="BX150" s="27" t="n"/>
      <c r="BY150" s="27" t="n"/>
      <c r="BZ150" s="27" t="n"/>
      <c r="CA150" s="27" t="n"/>
      <c r="CB150" s="27" t="n"/>
      <c r="CC150" s="27" t="n"/>
      <c r="CD150" s="27" t="n"/>
      <c r="CE150" s="27" t="n"/>
      <c r="CF150" s="27" t="n"/>
      <c r="CG150" s="27" t="n"/>
      <c r="CH150" s="27" t="n"/>
      <c r="CI150" s="27" t="n"/>
      <c r="CJ150" s="27" t="n"/>
      <c r="CK150" s="27" t="n"/>
      <c r="CL150" s="27" t="n"/>
      <c r="CM150" s="27" t="n"/>
      <c r="CN150" s="27" t="n"/>
      <c r="CO150" s="27" t="n"/>
      <c r="CP150" s="27" t="n"/>
      <c r="CQ150" s="27" t="n"/>
      <c r="CR150" s="27" t="n"/>
      <c r="CS150" s="27" t="n"/>
      <c r="CT150" s="27" t="n"/>
      <c r="CU150" s="27" t="n"/>
      <c r="CV150" s="27" t="n"/>
      <c r="CW150" s="27" t="n"/>
      <c r="CX150" s="27" t="n"/>
      <c r="CY150" s="27" t="n"/>
      <c r="CZ150" s="27" t="n"/>
      <c r="DA150" s="27" t="n"/>
      <c r="DB150" s="27" t="n"/>
      <c r="DC150" s="27" t="n"/>
      <c r="DD150" s="27" t="n"/>
      <c r="DE150" s="27" t="n"/>
      <c r="DF150" s="27" t="n"/>
      <c r="DG150" s="27" t="n"/>
      <c r="DH150" s="27" t="n"/>
      <c r="DI150" s="27" t="n"/>
      <c r="DJ150" s="27" t="n"/>
      <c r="DK150" s="27" t="n"/>
      <c r="DL150" s="27" t="n"/>
      <c r="DM150" s="27" t="n"/>
      <c r="DN150" s="27" t="n"/>
      <c r="DO150" s="27" t="n"/>
      <c r="DP150" s="27" t="n"/>
      <c r="DQ150" s="27" t="n"/>
      <c r="DR150" s="27" t="n"/>
      <c r="DS150" s="27" t="n"/>
      <c r="DT150" s="27" t="n"/>
      <c r="DU150" s="27" t="n"/>
      <c r="DV150" s="27" t="n"/>
      <c r="DW150" s="27" t="n"/>
      <c r="DX150" s="27" t="n"/>
      <c r="DY150" s="27" t="n"/>
      <c r="DZ150" s="27" t="n"/>
      <c r="EA150" s="27" t="n"/>
      <c r="EB150" s="27" t="n"/>
      <c r="EC150" s="27" t="n"/>
      <c r="ED150" s="27" t="n"/>
      <c r="EE150" s="27" t="n"/>
      <c r="EF150" s="27" t="n"/>
      <c r="EG150" s="27" t="n"/>
      <c r="EH150" s="27" t="n"/>
      <c r="EI150" s="27" t="n"/>
      <c r="EJ150" s="27" t="n"/>
      <c r="EK150" s="27" t="n"/>
      <c r="EL150" s="27" t="n"/>
      <c r="EM150" s="27" t="n"/>
      <c r="EN150" s="27" t="n"/>
      <c r="EO150" s="27" t="n"/>
      <c r="EP150" s="27" t="n"/>
      <c r="EQ150" s="27" t="n"/>
      <c r="ER150" s="27" t="n"/>
      <c r="ES150" s="27" t="n"/>
      <c r="ET150" s="27" t="n"/>
      <c r="EU150" s="27" t="n"/>
      <c r="EV150" s="27" t="n"/>
      <c r="EW150" s="27" t="n"/>
      <c r="EX150" s="27" t="n"/>
      <c r="EY150" s="27" t="n"/>
      <c r="EZ150" s="27" t="n"/>
      <c r="FA150" s="27" t="n"/>
      <c r="FB150" s="27" t="n"/>
      <c r="FC150" s="27" t="n"/>
      <c r="FD150" s="27" t="n"/>
      <c r="FE150" s="27" t="n"/>
      <c r="FF150" s="27" t="n"/>
      <c r="FG150" s="27" t="n"/>
      <c r="FH150" s="27" t="n"/>
      <c r="FI150" s="27" t="n"/>
      <c r="FJ150" s="27" t="n"/>
      <c r="FK150" s="27" t="n"/>
      <c r="FL150" s="27" t="n"/>
      <c r="FM150" s="27" t="n"/>
      <c r="FN150" s="27" t="n"/>
      <c r="FO150" s="27" t="n"/>
      <c r="FP150" s="27" t="n"/>
      <c r="FQ150" s="27" t="n"/>
      <c r="FR150" s="27" t="n"/>
      <c r="FS150" s="27" t="n"/>
      <c r="FT150" s="27" t="n"/>
      <c r="FU150" s="27" t="n"/>
      <c r="FV150" s="27" t="n"/>
      <c r="FW150" s="27" t="n"/>
      <c r="FX150" s="27" t="n"/>
      <c r="FY150" s="27" t="n"/>
      <c r="FZ150" s="27" t="n"/>
      <c r="GA150" s="27" t="n"/>
      <c r="GB150" s="27" t="n"/>
      <c r="GC150" s="27" t="n"/>
      <c r="GD150" s="27" t="n"/>
      <c r="GE150" s="27" t="n"/>
      <c r="GF150" s="27" t="n"/>
      <c r="GG150" s="27" t="n"/>
      <c r="GH150" s="27" t="n"/>
      <c r="GI150" s="27" t="n"/>
      <c r="GJ150" s="27" t="n"/>
      <c r="GK150" s="27" t="n"/>
      <c r="GL150" s="27" t="n"/>
      <c r="GM150" s="27" t="n"/>
      <c r="GN150" s="27" t="n"/>
      <c r="GO150" s="27" t="n"/>
      <c r="GP150" s="27" t="n"/>
      <c r="GQ150" s="27" t="n"/>
      <c r="GR150" s="27" t="n"/>
      <c r="GS150" s="27" t="n"/>
      <c r="GT150" s="27" t="n"/>
      <c r="GU150" s="27" t="n"/>
      <c r="GV150" s="27" t="n"/>
      <c r="GW150" s="27" t="n"/>
      <c r="GX150" s="27" t="n"/>
      <c r="GY150" s="27" t="n"/>
      <c r="GZ150" s="27" t="n"/>
      <c r="HA150" s="27" t="n"/>
      <c r="HB150" s="27" t="n"/>
      <c r="HC150" s="27" t="n"/>
      <c r="HD150" s="27" t="n"/>
      <c r="HE150" s="27" t="n"/>
      <c r="HF150" s="27" t="n"/>
      <c r="HG150" s="27" t="n"/>
      <c r="HH150" s="27" t="n"/>
      <c r="HI150" s="27" t="n"/>
      <c r="HJ150" s="27" t="n"/>
      <c r="HK150" s="27" t="n"/>
      <c r="HL150" s="27" t="n"/>
      <c r="HM150" s="27" t="n"/>
      <c r="HN150" s="27" t="n"/>
      <c r="HO150" s="27" t="n"/>
      <c r="HP150" s="27" t="n"/>
      <c r="HQ150" s="27" t="n"/>
      <c r="HR150" s="27" t="n"/>
      <c r="HS150" s="27" t="n"/>
      <c r="HT150" s="27" t="n"/>
      <c r="HU150" s="27" t="n"/>
      <c r="HV150" s="27" t="n"/>
      <c r="HW150" s="27" t="n"/>
      <c r="HX150" s="27" t="n"/>
      <c r="HY150" s="27" t="n"/>
      <c r="HZ150" s="27" t="n"/>
      <c r="IA150" s="27" t="n"/>
      <c r="IB150" s="27" t="n"/>
      <c r="IC150" s="27" t="n"/>
      <c r="ID150" s="27" t="n"/>
      <c r="IE150" s="27" t="n"/>
      <c r="IF150" s="27" t="n"/>
      <c r="IG150" s="27" t="n"/>
      <c r="IH150" s="27" t="n"/>
      <c r="II150" s="27" t="n"/>
      <c r="IJ150" s="27" t="n"/>
      <c r="IK150" s="27" t="n"/>
      <c r="IL150" s="27" t="n"/>
      <c r="IM150" s="27" t="n"/>
      <c r="IN150" s="27" t="n"/>
      <c r="IO150" s="27" t="n"/>
      <c r="IP150" s="27" t="n"/>
      <c r="IQ150" s="27" t="n"/>
      <c r="IR150" s="27" t="n"/>
      <c r="IS150" s="27" t="n"/>
      <c r="IT150" s="27" t="n"/>
      <c r="IU150" s="27" t="n"/>
      <c r="IV150" s="27" t="n"/>
    </row>
    <row r="151" ht="13" customHeight="1" s="195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  <c r="AA151" s="27" t="n"/>
      <c r="AB151" s="27" t="n"/>
      <c r="AC151" s="27" t="n"/>
      <c r="AD151" s="27" t="n"/>
      <c r="AE151" s="27" t="n"/>
      <c r="AF151" s="27" t="n"/>
      <c r="AG151" s="27" t="n"/>
      <c r="AH151" s="27" t="n"/>
      <c r="AI151" s="27" t="n"/>
      <c r="AJ151" s="27" t="n"/>
      <c r="AK151" s="27" t="n"/>
      <c r="AL151" s="27" t="n"/>
      <c r="AM151" s="27" t="n"/>
      <c r="AN151" s="27" t="n"/>
      <c r="AO151" s="27" t="n"/>
      <c r="AP151" s="27" t="n"/>
      <c r="AQ151" s="27" t="n"/>
      <c r="AR151" s="27" t="n"/>
      <c r="AS151" s="27" t="n"/>
      <c r="AT151" s="27" t="n"/>
      <c r="AU151" s="27" t="n"/>
      <c r="AV151" s="27" t="n"/>
      <c r="AW151" s="27" t="n"/>
      <c r="AX151" s="27" t="n"/>
      <c r="AY151" s="27" t="n"/>
      <c r="AZ151" s="27" t="n"/>
      <c r="BA151" s="27" t="n"/>
      <c r="BB151" s="27" t="n"/>
      <c r="BC151" s="27" t="n"/>
      <c r="BD151" s="27" t="n"/>
      <c r="BE151" s="27" t="n"/>
      <c r="BF151" s="27" t="n"/>
      <c r="BG151" s="27" t="n"/>
      <c r="BH151" s="27" t="n"/>
      <c r="BI151" s="27" t="n"/>
      <c r="BJ151" s="27" t="n"/>
      <c r="BK151" s="27" t="n"/>
      <c r="BL151" s="27" t="n"/>
      <c r="BM151" s="27" t="n"/>
      <c r="BN151" s="27" t="n"/>
      <c r="BO151" s="27" t="n"/>
      <c r="BP151" s="27" t="n"/>
      <c r="BQ151" s="27" t="n"/>
      <c r="BR151" s="27" t="n"/>
      <c r="BS151" s="27" t="n"/>
      <c r="BT151" s="27" t="n"/>
      <c r="BU151" s="27" t="n"/>
      <c r="BV151" s="27" t="n"/>
      <c r="BW151" s="27" t="n"/>
      <c r="BX151" s="27" t="n"/>
      <c r="BY151" s="27" t="n"/>
      <c r="BZ151" s="27" t="n"/>
      <c r="CA151" s="27" t="n"/>
      <c r="CB151" s="27" t="n"/>
      <c r="CC151" s="27" t="n"/>
      <c r="CD151" s="27" t="n"/>
      <c r="CE151" s="27" t="n"/>
      <c r="CF151" s="27" t="n"/>
      <c r="CG151" s="27" t="n"/>
      <c r="CH151" s="27" t="n"/>
      <c r="CI151" s="27" t="n"/>
      <c r="CJ151" s="27" t="n"/>
      <c r="CK151" s="27" t="n"/>
      <c r="CL151" s="27" t="n"/>
      <c r="CM151" s="27" t="n"/>
      <c r="CN151" s="27" t="n"/>
      <c r="CO151" s="27" t="n"/>
      <c r="CP151" s="27" t="n"/>
      <c r="CQ151" s="27" t="n"/>
      <c r="CR151" s="27" t="n"/>
      <c r="CS151" s="27" t="n"/>
      <c r="CT151" s="27" t="n"/>
      <c r="CU151" s="27" t="n"/>
      <c r="CV151" s="27" t="n"/>
      <c r="CW151" s="27" t="n"/>
      <c r="CX151" s="27" t="n"/>
      <c r="CY151" s="27" t="n"/>
      <c r="CZ151" s="27" t="n"/>
      <c r="DA151" s="27" t="n"/>
      <c r="DB151" s="27" t="n"/>
      <c r="DC151" s="27" t="n"/>
      <c r="DD151" s="27" t="n"/>
      <c r="DE151" s="27" t="n"/>
      <c r="DF151" s="27" t="n"/>
      <c r="DG151" s="27" t="n"/>
      <c r="DH151" s="27" t="n"/>
      <c r="DI151" s="27" t="n"/>
      <c r="DJ151" s="27" t="n"/>
      <c r="DK151" s="27" t="n"/>
      <c r="DL151" s="27" t="n"/>
      <c r="DM151" s="27" t="n"/>
      <c r="DN151" s="27" t="n"/>
      <c r="DO151" s="27" t="n"/>
      <c r="DP151" s="27" t="n"/>
      <c r="DQ151" s="27" t="n"/>
      <c r="DR151" s="27" t="n"/>
      <c r="DS151" s="27" t="n"/>
      <c r="DT151" s="27" t="n"/>
      <c r="DU151" s="27" t="n"/>
      <c r="DV151" s="27" t="n"/>
      <c r="DW151" s="27" t="n"/>
      <c r="DX151" s="27" t="n"/>
      <c r="DY151" s="27" t="n"/>
      <c r="DZ151" s="27" t="n"/>
      <c r="EA151" s="27" t="n"/>
      <c r="EB151" s="27" t="n"/>
      <c r="EC151" s="27" t="n"/>
      <c r="ED151" s="27" t="n"/>
      <c r="EE151" s="27" t="n"/>
      <c r="EF151" s="27" t="n"/>
      <c r="EG151" s="27" t="n"/>
      <c r="EH151" s="27" t="n"/>
      <c r="EI151" s="27" t="n"/>
      <c r="EJ151" s="27" t="n"/>
      <c r="EK151" s="27" t="n"/>
      <c r="EL151" s="27" t="n"/>
      <c r="EM151" s="27" t="n"/>
      <c r="EN151" s="27" t="n"/>
      <c r="EO151" s="27" t="n"/>
      <c r="EP151" s="27" t="n"/>
      <c r="EQ151" s="27" t="n"/>
      <c r="ER151" s="27" t="n"/>
      <c r="ES151" s="27" t="n"/>
      <c r="ET151" s="27" t="n"/>
      <c r="EU151" s="27" t="n"/>
      <c r="EV151" s="27" t="n"/>
      <c r="EW151" s="27" t="n"/>
      <c r="EX151" s="27" t="n"/>
      <c r="EY151" s="27" t="n"/>
      <c r="EZ151" s="27" t="n"/>
      <c r="FA151" s="27" t="n"/>
      <c r="FB151" s="27" t="n"/>
      <c r="FC151" s="27" t="n"/>
      <c r="FD151" s="27" t="n"/>
      <c r="FE151" s="27" t="n"/>
      <c r="FF151" s="27" t="n"/>
      <c r="FG151" s="27" t="n"/>
      <c r="FH151" s="27" t="n"/>
      <c r="FI151" s="27" t="n"/>
      <c r="FJ151" s="27" t="n"/>
      <c r="FK151" s="27" t="n"/>
      <c r="FL151" s="27" t="n"/>
      <c r="FM151" s="27" t="n"/>
      <c r="FN151" s="27" t="n"/>
      <c r="FO151" s="27" t="n"/>
      <c r="FP151" s="27" t="n"/>
      <c r="FQ151" s="27" t="n"/>
      <c r="FR151" s="27" t="n"/>
      <c r="FS151" s="27" t="n"/>
      <c r="FT151" s="27" t="n"/>
      <c r="FU151" s="27" t="n"/>
      <c r="FV151" s="27" t="n"/>
      <c r="FW151" s="27" t="n"/>
      <c r="FX151" s="27" t="n"/>
      <c r="FY151" s="27" t="n"/>
      <c r="FZ151" s="27" t="n"/>
      <c r="GA151" s="27" t="n"/>
      <c r="GB151" s="27" t="n"/>
      <c r="GC151" s="27" t="n"/>
      <c r="GD151" s="27" t="n"/>
      <c r="GE151" s="27" t="n"/>
      <c r="GF151" s="27" t="n"/>
      <c r="GG151" s="27" t="n"/>
      <c r="GH151" s="27" t="n"/>
      <c r="GI151" s="27" t="n"/>
      <c r="GJ151" s="27" t="n"/>
      <c r="GK151" s="27" t="n"/>
      <c r="GL151" s="27" t="n"/>
      <c r="GM151" s="27" t="n"/>
      <c r="GN151" s="27" t="n"/>
      <c r="GO151" s="27" t="n"/>
      <c r="GP151" s="27" t="n"/>
      <c r="GQ151" s="27" t="n"/>
      <c r="GR151" s="27" t="n"/>
      <c r="GS151" s="27" t="n"/>
      <c r="GT151" s="27" t="n"/>
      <c r="GU151" s="27" t="n"/>
      <c r="GV151" s="27" t="n"/>
      <c r="GW151" s="27" t="n"/>
      <c r="GX151" s="27" t="n"/>
      <c r="GY151" s="27" t="n"/>
      <c r="GZ151" s="27" t="n"/>
      <c r="HA151" s="27" t="n"/>
      <c r="HB151" s="27" t="n"/>
      <c r="HC151" s="27" t="n"/>
      <c r="HD151" s="27" t="n"/>
      <c r="HE151" s="27" t="n"/>
      <c r="HF151" s="27" t="n"/>
      <c r="HG151" s="27" t="n"/>
      <c r="HH151" s="27" t="n"/>
      <c r="HI151" s="27" t="n"/>
      <c r="HJ151" s="27" t="n"/>
      <c r="HK151" s="27" t="n"/>
      <c r="HL151" s="27" t="n"/>
      <c r="HM151" s="27" t="n"/>
      <c r="HN151" s="27" t="n"/>
      <c r="HO151" s="27" t="n"/>
      <c r="HP151" s="27" t="n"/>
      <c r="HQ151" s="27" t="n"/>
      <c r="HR151" s="27" t="n"/>
      <c r="HS151" s="27" t="n"/>
      <c r="HT151" s="27" t="n"/>
      <c r="HU151" s="27" t="n"/>
      <c r="HV151" s="27" t="n"/>
      <c r="HW151" s="27" t="n"/>
      <c r="HX151" s="27" t="n"/>
      <c r="HY151" s="27" t="n"/>
      <c r="HZ151" s="27" t="n"/>
      <c r="IA151" s="27" t="n"/>
      <c r="IB151" s="27" t="n"/>
      <c r="IC151" s="27" t="n"/>
      <c r="ID151" s="27" t="n"/>
      <c r="IE151" s="27" t="n"/>
      <c r="IF151" s="27" t="n"/>
      <c r="IG151" s="27" t="n"/>
      <c r="IH151" s="27" t="n"/>
      <c r="II151" s="27" t="n"/>
      <c r="IJ151" s="27" t="n"/>
      <c r="IK151" s="27" t="n"/>
      <c r="IL151" s="27" t="n"/>
      <c r="IM151" s="27" t="n"/>
      <c r="IN151" s="27" t="n"/>
      <c r="IO151" s="27" t="n"/>
      <c r="IP151" s="27" t="n"/>
      <c r="IQ151" s="27" t="n"/>
      <c r="IR151" s="27" t="n"/>
      <c r="IS151" s="27" t="n"/>
      <c r="IT151" s="27" t="n"/>
      <c r="IU151" s="27" t="n"/>
      <c r="IV151" s="27" t="n"/>
    </row>
    <row r="152" ht="13" customHeight="1" s="195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  <c r="AA152" s="27" t="n"/>
      <c r="AB152" s="27" t="n"/>
      <c r="AC152" s="27" t="n"/>
      <c r="AD152" s="27" t="n"/>
      <c r="AE152" s="27" t="n"/>
      <c r="AF152" s="27" t="n"/>
      <c r="AG152" s="27" t="n"/>
      <c r="AH152" s="27" t="n"/>
      <c r="AI152" s="27" t="n"/>
      <c r="AJ152" s="27" t="n"/>
      <c r="AK152" s="27" t="n"/>
      <c r="AL152" s="27" t="n"/>
      <c r="AM152" s="27" t="n"/>
      <c r="AN152" s="27" t="n"/>
      <c r="AO152" s="27" t="n"/>
      <c r="AP152" s="27" t="n"/>
      <c r="AQ152" s="27" t="n"/>
      <c r="AR152" s="27" t="n"/>
      <c r="AS152" s="27" t="n"/>
      <c r="AT152" s="27" t="n"/>
      <c r="AU152" s="27" t="n"/>
      <c r="AV152" s="27" t="n"/>
      <c r="AW152" s="27" t="n"/>
      <c r="AX152" s="27" t="n"/>
      <c r="AY152" s="27" t="n"/>
      <c r="AZ152" s="27" t="n"/>
      <c r="BA152" s="27" t="n"/>
      <c r="BB152" s="27" t="n"/>
      <c r="BC152" s="27" t="n"/>
      <c r="BD152" s="27" t="n"/>
      <c r="BE152" s="27" t="n"/>
      <c r="BF152" s="27" t="n"/>
      <c r="BG152" s="27" t="n"/>
      <c r="BH152" s="27" t="n"/>
      <c r="BI152" s="27" t="n"/>
      <c r="BJ152" s="27" t="n"/>
      <c r="BK152" s="27" t="n"/>
      <c r="BL152" s="27" t="n"/>
      <c r="BM152" s="27" t="n"/>
      <c r="BN152" s="27" t="n"/>
      <c r="BO152" s="27" t="n"/>
      <c r="BP152" s="27" t="n"/>
      <c r="BQ152" s="27" t="n"/>
      <c r="BR152" s="27" t="n"/>
      <c r="BS152" s="27" t="n"/>
      <c r="BT152" s="27" t="n"/>
      <c r="BU152" s="27" t="n"/>
      <c r="BV152" s="27" t="n"/>
      <c r="BW152" s="27" t="n"/>
      <c r="BX152" s="27" t="n"/>
      <c r="BY152" s="27" t="n"/>
      <c r="BZ152" s="27" t="n"/>
      <c r="CA152" s="27" t="n"/>
      <c r="CB152" s="27" t="n"/>
      <c r="CC152" s="27" t="n"/>
      <c r="CD152" s="27" t="n"/>
      <c r="CE152" s="27" t="n"/>
      <c r="CF152" s="27" t="n"/>
      <c r="CG152" s="27" t="n"/>
      <c r="CH152" s="27" t="n"/>
      <c r="CI152" s="27" t="n"/>
      <c r="CJ152" s="27" t="n"/>
      <c r="CK152" s="27" t="n"/>
      <c r="CL152" s="27" t="n"/>
      <c r="CM152" s="27" t="n"/>
      <c r="CN152" s="27" t="n"/>
      <c r="CO152" s="27" t="n"/>
      <c r="CP152" s="27" t="n"/>
      <c r="CQ152" s="27" t="n"/>
      <c r="CR152" s="27" t="n"/>
      <c r="CS152" s="27" t="n"/>
      <c r="CT152" s="27" t="n"/>
      <c r="CU152" s="27" t="n"/>
      <c r="CV152" s="27" t="n"/>
      <c r="CW152" s="27" t="n"/>
      <c r="CX152" s="27" t="n"/>
      <c r="CY152" s="27" t="n"/>
      <c r="CZ152" s="27" t="n"/>
      <c r="DA152" s="27" t="n"/>
      <c r="DB152" s="27" t="n"/>
      <c r="DC152" s="27" t="n"/>
      <c r="DD152" s="27" t="n"/>
      <c r="DE152" s="27" t="n"/>
      <c r="DF152" s="27" t="n"/>
      <c r="DG152" s="27" t="n"/>
      <c r="DH152" s="27" t="n"/>
      <c r="DI152" s="27" t="n"/>
      <c r="DJ152" s="27" t="n"/>
      <c r="DK152" s="27" t="n"/>
      <c r="DL152" s="27" t="n"/>
      <c r="DM152" s="27" t="n"/>
      <c r="DN152" s="27" t="n"/>
      <c r="DO152" s="27" t="n"/>
      <c r="DP152" s="27" t="n"/>
      <c r="DQ152" s="27" t="n"/>
      <c r="DR152" s="27" t="n"/>
      <c r="DS152" s="27" t="n"/>
      <c r="DT152" s="27" t="n"/>
      <c r="DU152" s="27" t="n"/>
      <c r="DV152" s="27" t="n"/>
      <c r="DW152" s="27" t="n"/>
      <c r="DX152" s="27" t="n"/>
      <c r="DY152" s="27" t="n"/>
      <c r="DZ152" s="27" t="n"/>
      <c r="EA152" s="27" t="n"/>
      <c r="EB152" s="27" t="n"/>
      <c r="EC152" s="27" t="n"/>
      <c r="ED152" s="27" t="n"/>
      <c r="EE152" s="27" t="n"/>
      <c r="EF152" s="27" t="n"/>
      <c r="EG152" s="27" t="n"/>
      <c r="EH152" s="27" t="n"/>
      <c r="EI152" s="27" t="n"/>
      <c r="EJ152" s="27" t="n"/>
      <c r="EK152" s="27" t="n"/>
      <c r="EL152" s="27" t="n"/>
      <c r="EM152" s="27" t="n"/>
      <c r="EN152" s="27" t="n"/>
      <c r="EO152" s="27" t="n"/>
      <c r="EP152" s="27" t="n"/>
      <c r="EQ152" s="27" t="n"/>
      <c r="ER152" s="27" t="n"/>
      <c r="ES152" s="27" t="n"/>
      <c r="ET152" s="27" t="n"/>
      <c r="EU152" s="27" t="n"/>
      <c r="EV152" s="27" t="n"/>
      <c r="EW152" s="27" t="n"/>
      <c r="EX152" s="27" t="n"/>
      <c r="EY152" s="27" t="n"/>
      <c r="EZ152" s="27" t="n"/>
      <c r="FA152" s="27" t="n"/>
      <c r="FB152" s="27" t="n"/>
      <c r="FC152" s="27" t="n"/>
      <c r="FD152" s="27" t="n"/>
      <c r="FE152" s="27" t="n"/>
      <c r="FF152" s="27" t="n"/>
      <c r="FG152" s="27" t="n"/>
      <c r="FH152" s="27" t="n"/>
      <c r="FI152" s="27" t="n"/>
      <c r="FJ152" s="27" t="n"/>
      <c r="FK152" s="27" t="n"/>
      <c r="FL152" s="27" t="n"/>
      <c r="FM152" s="27" t="n"/>
      <c r="FN152" s="27" t="n"/>
      <c r="FO152" s="27" t="n"/>
      <c r="FP152" s="27" t="n"/>
      <c r="FQ152" s="27" t="n"/>
      <c r="FR152" s="27" t="n"/>
      <c r="FS152" s="27" t="n"/>
      <c r="FT152" s="27" t="n"/>
      <c r="FU152" s="27" t="n"/>
      <c r="FV152" s="27" t="n"/>
      <c r="FW152" s="27" t="n"/>
      <c r="FX152" s="27" t="n"/>
      <c r="FY152" s="27" t="n"/>
      <c r="FZ152" s="27" t="n"/>
      <c r="GA152" s="27" t="n"/>
      <c r="GB152" s="27" t="n"/>
      <c r="GC152" s="27" t="n"/>
      <c r="GD152" s="27" t="n"/>
      <c r="GE152" s="27" t="n"/>
      <c r="GF152" s="27" t="n"/>
      <c r="GG152" s="27" t="n"/>
      <c r="GH152" s="27" t="n"/>
      <c r="GI152" s="27" t="n"/>
      <c r="GJ152" s="27" t="n"/>
      <c r="GK152" s="27" t="n"/>
      <c r="GL152" s="27" t="n"/>
      <c r="GM152" s="27" t="n"/>
      <c r="GN152" s="27" t="n"/>
      <c r="GO152" s="27" t="n"/>
      <c r="GP152" s="27" t="n"/>
      <c r="GQ152" s="27" t="n"/>
      <c r="GR152" s="27" t="n"/>
      <c r="GS152" s="27" t="n"/>
      <c r="GT152" s="27" t="n"/>
      <c r="GU152" s="27" t="n"/>
      <c r="GV152" s="27" t="n"/>
      <c r="GW152" s="27" t="n"/>
      <c r="GX152" s="27" t="n"/>
      <c r="GY152" s="27" t="n"/>
      <c r="GZ152" s="27" t="n"/>
      <c r="HA152" s="27" t="n"/>
      <c r="HB152" s="27" t="n"/>
      <c r="HC152" s="27" t="n"/>
      <c r="HD152" s="27" t="n"/>
      <c r="HE152" s="27" t="n"/>
      <c r="HF152" s="27" t="n"/>
      <c r="HG152" s="27" t="n"/>
      <c r="HH152" s="27" t="n"/>
      <c r="HI152" s="27" t="n"/>
      <c r="HJ152" s="27" t="n"/>
      <c r="HK152" s="27" t="n"/>
      <c r="HL152" s="27" t="n"/>
      <c r="HM152" s="27" t="n"/>
      <c r="HN152" s="27" t="n"/>
      <c r="HO152" s="27" t="n"/>
      <c r="HP152" s="27" t="n"/>
      <c r="HQ152" s="27" t="n"/>
      <c r="HR152" s="27" t="n"/>
      <c r="HS152" s="27" t="n"/>
      <c r="HT152" s="27" t="n"/>
      <c r="HU152" s="27" t="n"/>
      <c r="HV152" s="27" t="n"/>
      <c r="HW152" s="27" t="n"/>
      <c r="HX152" s="27" t="n"/>
      <c r="HY152" s="27" t="n"/>
      <c r="HZ152" s="27" t="n"/>
      <c r="IA152" s="27" t="n"/>
      <c r="IB152" s="27" t="n"/>
      <c r="IC152" s="27" t="n"/>
      <c r="ID152" s="27" t="n"/>
      <c r="IE152" s="27" t="n"/>
      <c r="IF152" s="27" t="n"/>
      <c r="IG152" s="27" t="n"/>
      <c r="IH152" s="27" t="n"/>
      <c r="II152" s="27" t="n"/>
      <c r="IJ152" s="27" t="n"/>
      <c r="IK152" s="27" t="n"/>
      <c r="IL152" s="27" t="n"/>
      <c r="IM152" s="27" t="n"/>
      <c r="IN152" s="27" t="n"/>
      <c r="IO152" s="27" t="n"/>
      <c r="IP152" s="27" t="n"/>
      <c r="IQ152" s="27" t="n"/>
      <c r="IR152" s="27" t="n"/>
      <c r="IS152" s="27" t="n"/>
      <c r="IT152" s="27" t="n"/>
      <c r="IU152" s="27" t="n"/>
      <c r="IV152" s="27" t="n"/>
    </row>
    <row r="153" ht="13" customHeight="1" s="195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  <c r="AA153" s="27" t="n"/>
      <c r="AB153" s="27" t="n"/>
      <c r="AC153" s="27" t="n"/>
      <c r="AD153" s="27" t="n"/>
      <c r="AE153" s="27" t="n"/>
      <c r="AF153" s="27" t="n"/>
      <c r="AG153" s="27" t="n"/>
      <c r="AH153" s="27" t="n"/>
      <c r="AI153" s="27" t="n"/>
      <c r="AJ153" s="27" t="n"/>
      <c r="AK153" s="27" t="n"/>
      <c r="AL153" s="27" t="n"/>
      <c r="AM153" s="27" t="n"/>
      <c r="AN153" s="27" t="n"/>
      <c r="AO153" s="27" t="n"/>
      <c r="AP153" s="27" t="n"/>
      <c r="AQ153" s="27" t="n"/>
      <c r="AR153" s="27" t="n"/>
      <c r="AS153" s="27" t="n"/>
      <c r="AT153" s="27" t="n"/>
      <c r="AU153" s="27" t="n"/>
      <c r="AV153" s="27" t="n"/>
      <c r="AW153" s="27" t="n"/>
      <c r="AX153" s="27" t="n"/>
      <c r="AY153" s="27" t="n"/>
      <c r="AZ153" s="27" t="n"/>
      <c r="BA153" s="27" t="n"/>
      <c r="BB153" s="27" t="n"/>
      <c r="BC153" s="27" t="n"/>
      <c r="BD153" s="27" t="n"/>
      <c r="BE153" s="27" t="n"/>
      <c r="BF153" s="27" t="n"/>
      <c r="BG153" s="27" t="n"/>
      <c r="BH153" s="27" t="n"/>
      <c r="BI153" s="27" t="n"/>
      <c r="BJ153" s="27" t="n"/>
      <c r="BK153" s="27" t="n"/>
      <c r="BL153" s="27" t="n"/>
      <c r="BM153" s="27" t="n"/>
      <c r="BN153" s="27" t="n"/>
      <c r="BO153" s="27" t="n"/>
      <c r="BP153" s="27" t="n"/>
      <c r="BQ153" s="27" t="n"/>
      <c r="BR153" s="27" t="n"/>
      <c r="BS153" s="27" t="n"/>
      <c r="BT153" s="27" t="n"/>
      <c r="BU153" s="27" t="n"/>
      <c r="BV153" s="27" t="n"/>
      <c r="BW153" s="27" t="n"/>
      <c r="BX153" s="27" t="n"/>
      <c r="BY153" s="27" t="n"/>
      <c r="BZ153" s="27" t="n"/>
      <c r="CA153" s="27" t="n"/>
      <c r="CB153" s="27" t="n"/>
      <c r="CC153" s="27" t="n"/>
      <c r="CD153" s="27" t="n"/>
      <c r="CE153" s="27" t="n"/>
      <c r="CF153" s="27" t="n"/>
      <c r="CG153" s="27" t="n"/>
      <c r="CH153" s="27" t="n"/>
      <c r="CI153" s="27" t="n"/>
      <c r="CJ153" s="27" t="n"/>
      <c r="CK153" s="27" t="n"/>
      <c r="CL153" s="27" t="n"/>
      <c r="CM153" s="27" t="n"/>
      <c r="CN153" s="27" t="n"/>
      <c r="CO153" s="27" t="n"/>
      <c r="CP153" s="27" t="n"/>
      <c r="CQ153" s="27" t="n"/>
      <c r="CR153" s="27" t="n"/>
      <c r="CS153" s="27" t="n"/>
      <c r="CT153" s="27" t="n"/>
      <c r="CU153" s="27" t="n"/>
      <c r="CV153" s="27" t="n"/>
      <c r="CW153" s="27" t="n"/>
      <c r="CX153" s="27" t="n"/>
      <c r="CY153" s="27" t="n"/>
      <c r="CZ153" s="27" t="n"/>
      <c r="DA153" s="27" t="n"/>
      <c r="DB153" s="27" t="n"/>
      <c r="DC153" s="27" t="n"/>
      <c r="DD153" s="27" t="n"/>
      <c r="DE153" s="27" t="n"/>
      <c r="DF153" s="27" t="n"/>
      <c r="DG153" s="27" t="n"/>
      <c r="DH153" s="27" t="n"/>
      <c r="DI153" s="27" t="n"/>
      <c r="DJ153" s="27" t="n"/>
      <c r="DK153" s="27" t="n"/>
      <c r="DL153" s="27" t="n"/>
      <c r="DM153" s="27" t="n"/>
      <c r="DN153" s="27" t="n"/>
      <c r="DO153" s="27" t="n"/>
      <c r="DP153" s="27" t="n"/>
      <c r="DQ153" s="27" t="n"/>
      <c r="DR153" s="27" t="n"/>
      <c r="DS153" s="27" t="n"/>
      <c r="DT153" s="27" t="n"/>
      <c r="DU153" s="27" t="n"/>
      <c r="DV153" s="27" t="n"/>
      <c r="DW153" s="27" t="n"/>
      <c r="DX153" s="27" t="n"/>
      <c r="DY153" s="27" t="n"/>
      <c r="DZ153" s="27" t="n"/>
      <c r="EA153" s="27" t="n"/>
      <c r="EB153" s="27" t="n"/>
      <c r="EC153" s="27" t="n"/>
      <c r="ED153" s="27" t="n"/>
      <c r="EE153" s="27" t="n"/>
      <c r="EF153" s="27" t="n"/>
      <c r="EG153" s="27" t="n"/>
      <c r="EH153" s="27" t="n"/>
      <c r="EI153" s="27" t="n"/>
      <c r="EJ153" s="27" t="n"/>
      <c r="EK153" s="27" t="n"/>
      <c r="EL153" s="27" t="n"/>
      <c r="EM153" s="27" t="n"/>
      <c r="EN153" s="27" t="n"/>
      <c r="EO153" s="27" t="n"/>
      <c r="EP153" s="27" t="n"/>
      <c r="EQ153" s="27" t="n"/>
      <c r="ER153" s="27" t="n"/>
      <c r="ES153" s="27" t="n"/>
      <c r="ET153" s="27" t="n"/>
      <c r="EU153" s="27" t="n"/>
      <c r="EV153" s="27" t="n"/>
      <c r="EW153" s="27" t="n"/>
      <c r="EX153" s="27" t="n"/>
      <c r="EY153" s="27" t="n"/>
      <c r="EZ153" s="27" t="n"/>
      <c r="FA153" s="27" t="n"/>
      <c r="FB153" s="27" t="n"/>
      <c r="FC153" s="27" t="n"/>
      <c r="FD153" s="27" t="n"/>
      <c r="FE153" s="27" t="n"/>
      <c r="FF153" s="27" t="n"/>
      <c r="FG153" s="27" t="n"/>
      <c r="FH153" s="27" t="n"/>
      <c r="FI153" s="27" t="n"/>
      <c r="FJ153" s="27" t="n"/>
      <c r="FK153" s="27" t="n"/>
      <c r="FL153" s="27" t="n"/>
      <c r="FM153" s="27" t="n"/>
      <c r="FN153" s="27" t="n"/>
      <c r="FO153" s="27" t="n"/>
      <c r="FP153" s="27" t="n"/>
      <c r="FQ153" s="27" t="n"/>
      <c r="FR153" s="27" t="n"/>
      <c r="FS153" s="27" t="n"/>
      <c r="FT153" s="27" t="n"/>
      <c r="FU153" s="27" t="n"/>
      <c r="FV153" s="27" t="n"/>
      <c r="FW153" s="27" t="n"/>
      <c r="FX153" s="27" t="n"/>
      <c r="FY153" s="27" t="n"/>
      <c r="FZ153" s="27" t="n"/>
      <c r="GA153" s="27" t="n"/>
      <c r="GB153" s="27" t="n"/>
      <c r="GC153" s="27" t="n"/>
      <c r="GD153" s="27" t="n"/>
      <c r="GE153" s="27" t="n"/>
      <c r="GF153" s="27" t="n"/>
      <c r="GG153" s="27" t="n"/>
      <c r="GH153" s="27" t="n"/>
      <c r="GI153" s="27" t="n"/>
      <c r="GJ153" s="27" t="n"/>
      <c r="GK153" s="27" t="n"/>
      <c r="GL153" s="27" t="n"/>
      <c r="GM153" s="27" t="n"/>
      <c r="GN153" s="27" t="n"/>
      <c r="GO153" s="27" t="n"/>
      <c r="GP153" s="27" t="n"/>
      <c r="GQ153" s="27" t="n"/>
      <c r="GR153" s="27" t="n"/>
      <c r="GS153" s="27" t="n"/>
      <c r="GT153" s="27" t="n"/>
      <c r="GU153" s="27" t="n"/>
      <c r="GV153" s="27" t="n"/>
      <c r="GW153" s="27" t="n"/>
      <c r="GX153" s="27" t="n"/>
      <c r="GY153" s="27" t="n"/>
      <c r="GZ153" s="27" t="n"/>
      <c r="HA153" s="27" t="n"/>
      <c r="HB153" s="27" t="n"/>
      <c r="HC153" s="27" t="n"/>
      <c r="HD153" s="27" t="n"/>
      <c r="HE153" s="27" t="n"/>
      <c r="HF153" s="27" t="n"/>
      <c r="HG153" s="27" t="n"/>
      <c r="HH153" s="27" t="n"/>
      <c r="HI153" s="27" t="n"/>
      <c r="HJ153" s="27" t="n"/>
      <c r="HK153" s="27" t="n"/>
      <c r="HL153" s="27" t="n"/>
      <c r="HM153" s="27" t="n"/>
      <c r="HN153" s="27" t="n"/>
      <c r="HO153" s="27" t="n"/>
      <c r="HP153" s="27" t="n"/>
      <c r="HQ153" s="27" t="n"/>
      <c r="HR153" s="27" t="n"/>
      <c r="HS153" s="27" t="n"/>
      <c r="HT153" s="27" t="n"/>
      <c r="HU153" s="27" t="n"/>
      <c r="HV153" s="27" t="n"/>
      <c r="HW153" s="27" t="n"/>
      <c r="HX153" s="27" t="n"/>
      <c r="HY153" s="27" t="n"/>
      <c r="HZ153" s="27" t="n"/>
      <c r="IA153" s="27" t="n"/>
      <c r="IB153" s="27" t="n"/>
      <c r="IC153" s="27" t="n"/>
      <c r="ID153" s="27" t="n"/>
      <c r="IE153" s="27" t="n"/>
      <c r="IF153" s="27" t="n"/>
      <c r="IG153" s="27" t="n"/>
      <c r="IH153" s="27" t="n"/>
      <c r="II153" s="27" t="n"/>
      <c r="IJ153" s="27" t="n"/>
      <c r="IK153" s="27" t="n"/>
      <c r="IL153" s="27" t="n"/>
      <c r="IM153" s="27" t="n"/>
      <c r="IN153" s="27" t="n"/>
      <c r="IO153" s="27" t="n"/>
      <c r="IP153" s="27" t="n"/>
      <c r="IQ153" s="27" t="n"/>
      <c r="IR153" s="27" t="n"/>
      <c r="IS153" s="27" t="n"/>
      <c r="IT153" s="27" t="n"/>
      <c r="IU153" s="27" t="n"/>
      <c r="IV153" s="27" t="n"/>
    </row>
    <row r="154" ht="13" customHeight="1" s="195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  <c r="AA154" s="27" t="n"/>
      <c r="AB154" s="27" t="n"/>
      <c r="AC154" s="27" t="n"/>
      <c r="AD154" s="27" t="n"/>
      <c r="AE154" s="27" t="n"/>
      <c r="AF154" s="27" t="n"/>
      <c r="AG154" s="27" t="n"/>
      <c r="AH154" s="27" t="n"/>
      <c r="AI154" s="27" t="n"/>
      <c r="AJ154" s="27" t="n"/>
      <c r="AK154" s="27" t="n"/>
      <c r="AL154" s="27" t="n"/>
      <c r="AM154" s="27" t="n"/>
      <c r="AN154" s="27" t="n"/>
      <c r="AO154" s="27" t="n"/>
      <c r="AP154" s="27" t="n"/>
      <c r="AQ154" s="27" t="n"/>
      <c r="AR154" s="27" t="n"/>
      <c r="AS154" s="27" t="n"/>
      <c r="AT154" s="27" t="n"/>
      <c r="AU154" s="27" t="n"/>
      <c r="AV154" s="27" t="n"/>
      <c r="AW154" s="27" t="n"/>
      <c r="AX154" s="27" t="n"/>
      <c r="AY154" s="27" t="n"/>
      <c r="AZ154" s="27" t="n"/>
      <c r="BA154" s="27" t="n"/>
      <c r="BB154" s="27" t="n"/>
      <c r="BC154" s="27" t="n"/>
      <c r="BD154" s="27" t="n"/>
      <c r="BE154" s="27" t="n"/>
      <c r="BF154" s="27" t="n"/>
      <c r="BG154" s="27" t="n"/>
      <c r="BH154" s="27" t="n"/>
      <c r="BI154" s="27" t="n"/>
      <c r="BJ154" s="27" t="n"/>
      <c r="BK154" s="27" t="n"/>
      <c r="BL154" s="27" t="n"/>
      <c r="BM154" s="27" t="n"/>
      <c r="BN154" s="27" t="n"/>
      <c r="BO154" s="27" t="n"/>
      <c r="BP154" s="27" t="n"/>
      <c r="BQ154" s="27" t="n"/>
      <c r="BR154" s="27" t="n"/>
      <c r="BS154" s="27" t="n"/>
      <c r="BT154" s="27" t="n"/>
      <c r="BU154" s="27" t="n"/>
      <c r="BV154" s="27" t="n"/>
      <c r="BW154" s="27" t="n"/>
      <c r="BX154" s="27" t="n"/>
      <c r="BY154" s="27" t="n"/>
      <c r="BZ154" s="27" t="n"/>
      <c r="CA154" s="27" t="n"/>
      <c r="CB154" s="27" t="n"/>
      <c r="CC154" s="27" t="n"/>
      <c r="CD154" s="27" t="n"/>
      <c r="CE154" s="27" t="n"/>
      <c r="CF154" s="27" t="n"/>
      <c r="CG154" s="27" t="n"/>
      <c r="CH154" s="27" t="n"/>
      <c r="CI154" s="27" t="n"/>
      <c r="CJ154" s="27" t="n"/>
      <c r="CK154" s="27" t="n"/>
      <c r="CL154" s="27" t="n"/>
      <c r="CM154" s="27" t="n"/>
      <c r="CN154" s="27" t="n"/>
      <c r="CO154" s="27" t="n"/>
      <c r="CP154" s="27" t="n"/>
      <c r="CQ154" s="27" t="n"/>
      <c r="CR154" s="27" t="n"/>
      <c r="CS154" s="27" t="n"/>
      <c r="CT154" s="27" t="n"/>
      <c r="CU154" s="27" t="n"/>
      <c r="CV154" s="27" t="n"/>
      <c r="CW154" s="27" t="n"/>
      <c r="CX154" s="27" t="n"/>
      <c r="CY154" s="27" t="n"/>
      <c r="CZ154" s="27" t="n"/>
      <c r="DA154" s="27" t="n"/>
      <c r="DB154" s="27" t="n"/>
      <c r="DC154" s="27" t="n"/>
      <c r="DD154" s="27" t="n"/>
      <c r="DE154" s="27" t="n"/>
      <c r="DF154" s="27" t="n"/>
      <c r="DG154" s="27" t="n"/>
      <c r="DH154" s="27" t="n"/>
      <c r="DI154" s="27" t="n"/>
      <c r="DJ154" s="27" t="n"/>
      <c r="DK154" s="27" t="n"/>
      <c r="DL154" s="27" t="n"/>
      <c r="DM154" s="27" t="n"/>
      <c r="DN154" s="27" t="n"/>
      <c r="DO154" s="27" t="n"/>
      <c r="DP154" s="27" t="n"/>
      <c r="DQ154" s="27" t="n"/>
      <c r="DR154" s="27" t="n"/>
      <c r="DS154" s="27" t="n"/>
      <c r="DT154" s="27" t="n"/>
      <c r="DU154" s="27" t="n"/>
      <c r="DV154" s="27" t="n"/>
      <c r="DW154" s="27" t="n"/>
      <c r="DX154" s="27" t="n"/>
      <c r="DY154" s="27" t="n"/>
      <c r="DZ154" s="27" t="n"/>
      <c r="EA154" s="27" t="n"/>
      <c r="EB154" s="27" t="n"/>
      <c r="EC154" s="27" t="n"/>
      <c r="ED154" s="27" t="n"/>
      <c r="EE154" s="27" t="n"/>
      <c r="EF154" s="27" t="n"/>
      <c r="EG154" s="27" t="n"/>
      <c r="EH154" s="27" t="n"/>
      <c r="EI154" s="27" t="n"/>
      <c r="EJ154" s="27" t="n"/>
      <c r="EK154" s="27" t="n"/>
      <c r="EL154" s="27" t="n"/>
      <c r="EM154" s="27" t="n"/>
      <c r="EN154" s="27" t="n"/>
      <c r="EO154" s="27" t="n"/>
      <c r="EP154" s="27" t="n"/>
      <c r="EQ154" s="27" t="n"/>
      <c r="ER154" s="27" t="n"/>
      <c r="ES154" s="27" t="n"/>
      <c r="ET154" s="27" t="n"/>
      <c r="EU154" s="27" t="n"/>
      <c r="EV154" s="27" t="n"/>
      <c r="EW154" s="27" t="n"/>
      <c r="EX154" s="27" t="n"/>
      <c r="EY154" s="27" t="n"/>
      <c r="EZ154" s="27" t="n"/>
      <c r="FA154" s="27" t="n"/>
      <c r="FB154" s="27" t="n"/>
      <c r="FC154" s="27" t="n"/>
      <c r="FD154" s="27" t="n"/>
      <c r="FE154" s="27" t="n"/>
      <c r="FF154" s="27" t="n"/>
      <c r="FG154" s="27" t="n"/>
      <c r="FH154" s="27" t="n"/>
      <c r="FI154" s="27" t="n"/>
      <c r="FJ154" s="27" t="n"/>
      <c r="FK154" s="27" t="n"/>
      <c r="FL154" s="27" t="n"/>
      <c r="FM154" s="27" t="n"/>
      <c r="FN154" s="27" t="n"/>
      <c r="FO154" s="27" t="n"/>
      <c r="FP154" s="27" t="n"/>
      <c r="FQ154" s="27" t="n"/>
      <c r="FR154" s="27" t="n"/>
      <c r="FS154" s="27" t="n"/>
      <c r="FT154" s="27" t="n"/>
      <c r="FU154" s="27" t="n"/>
      <c r="FV154" s="27" t="n"/>
      <c r="FW154" s="27" t="n"/>
      <c r="FX154" s="27" t="n"/>
      <c r="FY154" s="27" t="n"/>
      <c r="FZ154" s="27" t="n"/>
      <c r="GA154" s="27" t="n"/>
      <c r="GB154" s="27" t="n"/>
      <c r="GC154" s="27" t="n"/>
      <c r="GD154" s="27" t="n"/>
      <c r="GE154" s="27" t="n"/>
      <c r="GF154" s="27" t="n"/>
      <c r="GG154" s="27" t="n"/>
      <c r="GH154" s="27" t="n"/>
      <c r="GI154" s="27" t="n"/>
      <c r="GJ154" s="27" t="n"/>
      <c r="GK154" s="27" t="n"/>
      <c r="GL154" s="27" t="n"/>
      <c r="GM154" s="27" t="n"/>
      <c r="GN154" s="27" t="n"/>
      <c r="GO154" s="27" t="n"/>
      <c r="GP154" s="27" t="n"/>
      <c r="GQ154" s="27" t="n"/>
      <c r="GR154" s="27" t="n"/>
      <c r="GS154" s="27" t="n"/>
      <c r="GT154" s="27" t="n"/>
      <c r="GU154" s="27" t="n"/>
      <c r="GV154" s="27" t="n"/>
      <c r="GW154" s="27" t="n"/>
      <c r="GX154" s="27" t="n"/>
      <c r="GY154" s="27" t="n"/>
      <c r="GZ154" s="27" t="n"/>
      <c r="HA154" s="27" t="n"/>
      <c r="HB154" s="27" t="n"/>
      <c r="HC154" s="27" t="n"/>
      <c r="HD154" s="27" t="n"/>
      <c r="HE154" s="27" t="n"/>
      <c r="HF154" s="27" t="n"/>
      <c r="HG154" s="27" t="n"/>
      <c r="HH154" s="27" t="n"/>
      <c r="HI154" s="27" t="n"/>
      <c r="HJ154" s="27" t="n"/>
      <c r="HK154" s="27" t="n"/>
      <c r="HL154" s="27" t="n"/>
      <c r="HM154" s="27" t="n"/>
      <c r="HN154" s="27" t="n"/>
      <c r="HO154" s="27" t="n"/>
      <c r="HP154" s="27" t="n"/>
      <c r="HQ154" s="27" t="n"/>
      <c r="HR154" s="27" t="n"/>
      <c r="HS154" s="27" t="n"/>
      <c r="HT154" s="27" t="n"/>
      <c r="HU154" s="27" t="n"/>
      <c r="HV154" s="27" t="n"/>
      <c r="HW154" s="27" t="n"/>
      <c r="HX154" s="27" t="n"/>
      <c r="HY154" s="27" t="n"/>
      <c r="HZ154" s="27" t="n"/>
      <c r="IA154" s="27" t="n"/>
      <c r="IB154" s="27" t="n"/>
      <c r="IC154" s="27" t="n"/>
      <c r="ID154" s="27" t="n"/>
      <c r="IE154" s="27" t="n"/>
      <c r="IF154" s="27" t="n"/>
      <c r="IG154" s="27" t="n"/>
      <c r="IH154" s="27" t="n"/>
      <c r="II154" s="27" t="n"/>
      <c r="IJ154" s="27" t="n"/>
      <c r="IK154" s="27" t="n"/>
      <c r="IL154" s="27" t="n"/>
      <c r="IM154" s="27" t="n"/>
      <c r="IN154" s="27" t="n"/>
      <c r="IO154" s="27" t="n"/>
      <c r="IP154" s="27" t="n"/>
      <c r="IQ154" s="27" t="n"/>
      <c r="IR154" s="27" t="n"/>
      <c r="IS154" s="27" t="n"/>
      <c r="IT154" s="27" t="n"/>
      <c r="IU154" s="27" t="n"/>
      <c r="IV154" s="27" t="n"/>
    </row>
    <row r="155" ht="13" customHeight="1" s="195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  <c r="AA155" s="27" t="n"/>
      <c r="AB155" s="27" t="n"/>
      <c r="AC155" s="27" t="n"/>
      <c r="AD155" s="27" t="n"/>
      <c r="AE155" s="27" t="n"/>
      <c r="AF155" s="27" t="n"/>
      <c r="AG155" s="27" t="n"/>
      <c r="AH155" s="27" t="n"/>
      <c r="AI155" s="27" t="n"/>
      <c r="AJ155" s="27" t="n"/>
      <c r="AK155" s="27" t="n"/>
      <c r="AL155" s="27" t="n"/>
      <c r="AM155" s="27" t="n"/>
      <c r="AN155" s="27" t="n"/>
      <c r="AO155" s="27" t="n"/>
      <c r="AP155" s="27" t="n"/>
      <c r="AQ155" s="27" t="n"/>
      <c r="AR155" s="27" t="n"/>
      <c r="AS155" s="27" t="n"/>
      <c r="AT155" s="27" t="n"/>
      <c r="AU155" s="27" t="n"/>
      <c r="AV155" s="27" t="n"/>
      <c r="AW155" s="27" t="n"/>
      <c r="AX155" s="27" t="n"/>
      <c r="AY155" s="27" t="n"/>
      <c r="AZ155" s="27" t="n"/>
      <c r="BA155" s="27" t="n"/>
      <c r="BB155" s="27" t="n"/>
      <c r="BC155" s="27" t="n"/>
      <c r="BD155" s="27" t="n"/>
      <c r="BE155" s="27" t="n"/>
      <c r="BF155" s="27" t="n"/>
      <c r="BG155" s="27" t="n"/>
      <c r="BH155" s="27" t="n"/>
      <c r="BI155" s="27" t="n"/>
      <c r="BJ155" s="27" t="n"/>
      <c r="BK155" s="27" t="n"/>
      <c r="BL155" s="27" t="n"/>
      <c r="BM155" s="27" t="n"/>
      <c r="BN155" s="27" t="n"/>
      <c r="BO155" s="27" t="n"/>
      <c r="BP155" s="27" t="n"/>
      <c r="BQ155" s="27" t="n"/>
      <c r="BR155" s="27" t="n"/>
      <c r="BS155" s="27" t="n"/>
      <c r="BT155" s="27" t="n"/>
      <c r="BU155" s="27" t="n"/>
      <c r="BV155" s="27" t="n"/>
      <c r="BW155" s="27" t="n"/>
      <c r="BX155" s="27" t="n"/>
      <c r="BY155" s="27" t="n"/>
      <c r="BZ155" s="27" t="n"/>
      <c r="CA155" s="27" t="n"/>
      <c r="CB155" s="27" t="n"/>
      <c r="CC155" s="27" t="n"/>
      <c r="CD155" s="27" t="n"/>
      <c r="CE155" s="27" t="n"/>
      <c r="CF155" s="27" t="n"/>
      <c r="CG155" s="27" t="n"/>
      <c r="CH155" s="27" t="n"/>
      <c r="CI155" s="27" t="n"/>
      <c r="CJ155" s="27" t="n"/>
      <c r="CK155" s="27" t="n"/>
      <c r="CL155" s="27" t="n"/>
      <c r="CM155" s="27" t="n"/>
      <c r="CN155" s="27" t="n"/>
      <c r="CO155" s="27" t="n"/>
      <c r="CP155" s="27" t="n"/>
      <c r="CQ155" s="27" t="n"/>
      <c r="CR155" s="27" t="n"/>
      <c r="CS155" s="27" t="n"/>
      <c r="CT155" s="27" t="n"/>
      <c r="CU155" s="27" t="n"/>
      <c r="CV155" s="27" t="n"/>
      <c r="CW155" s="27" t="n"/>
      <c r="CX155" s="27" t="n"/>
      <c r="CY155" s="27" t="n"/>
      <c r="CZ155" s="27" t="n"/>
      <c r="DA155" s="27" t="n"/>
      <c r="DB155" s="27" t="n"/>
      <c r="DC155" s="27" t="n"/>
      <c r="DD155" s="27" t="n"/>
      <c r="DE155" s="27" t="n"/>
      <c r="DF155" s="27" t="n"/>
      <c r="DG155" s="27" t="n"/>
      <c r="DH155" s="27" t="n"/>
      <c r="DI155" s="27" t="n"/>
      <c r="DJ155" s="27" t="n"/>
      <c r="DK155" s="27" t="n"/>
      <c r="DL155" s="27" t="n"/>
      <c r="DM155" s="27" t="n"/>
      <c r="DN155" s="27" t="n"/>
      <c r="DO155" s="27" t="n"/>
      <c r="DP155" s="27" t="n"/>
      <c r="DQ155" s="27" t="n"/>
      <c r="DR155" s="27" t="n"/>
      <c r="DS155" s="27" t="n"/>
      <c r="DT155" s="27" t="n"/>
      <c r="DU155" s="27" t="n"/>
      <c r="DV155" s="27" t="n"/>
      <c r="DW155" s="27" t="n"/>
      <c r="DX155" s="27" t="n"/>
      <c r="DY155" s="27" t="n"/>
      <c r="DZ155" s="27" t="n"/>
      <c r="EA155" s="27" t="n"/>
      <c r="EB155" s="27" t="n"/>
      <c r="EC155" s="27" t="n"/>
      <c r="ED155" s="27" t="n"/>
      <c r="EE155" s="27" t="n"/>
      <c r="EF155" s="27" t="n"/>
      <c r="EG155" s="27" t="n"/>
      <c r="EH155" s="27" t="n"/>
      <c r="EI155" s="27" t="n"/>
      <c r="EJ155" s="27" t="n"/>
      <c r="EK155" s="27" t="n"/>
      <c r="EL155" s="27" t="n"/>
      <c r="EM155" s="27" t="n"/>
      <c r="EN155" s="27" t="n"/>
      <c r="EO155" s="27" t="n"/>
      <c r="EP155" s="27" t="n"/>
      <c r="EQ155" s="27" t="n"/>
      <c r="ER155" s="27" t="n"/>
      <c r="ES155" s="27" t="n"/>
      <c r="ET155" s="27" t="n"/>
      <c r="EU155" s="27" t="n"/>
      <c r="EV155" s="27" t="n"/>
      <c r="EW155" s="27" t="n"/>
      <c r="EX155" s="27" t="n"/>
      <c r="EY155" s="27" t="n"/>
      <c r="EZ155" s="27" t="n"/>
      <c r="FA155" s="27" t="n"/>
      <c r="FB155" s="27" t="n"/>
      <c r="FC155" s="27" t="n"/>
      <c r="FD155" s="27" t="n"/>
      <c r="FE155" s="27" t="n"/>
      <c r="FF155" s="27" t="n"/>
      <c r="FG155" s="27" t="n"/>
      <c r="FH155" s="27" t="n"/>
      <c r="FI155" s="27" t="n"/>
      <c r="FJ155" s="27" t="n"/>
      <c r="FK155" s="27" t="n"/>
      <c r="FL155" s="27" t="n"/>
      <c r="FM155" s="27" t="n"/>
      <c r="FN155" s="27" t="n"/>
      <c r="FO155" s="27" t="n"/>
      <c r="FP155" s="27" t="n"/>
      <c r="FQ155" s="27" t="n"/>
      <c r="FR155" s="27" t="n"/>
      <c r="FS155" s="27" t="n"/>
      <c r="FT155" s="27" t="n"/>
      <c r="FU155" s="27" t="n"/>
      <c r="FV155" s="27" t="n"/>
      <c r="FW155" s="27" t="n"/>
      <c r="FX155" s="27" t="n"/>
      <c r="FY155" s="27" t="n"/>
      <c r="FZ155" s="27" t="n"/>
      <c r="GA155" s="27" t="n"/>
      <c r="GB155" s="27" t="n"/>
      <c r="GC155" s="27" t="n"/>
      <c r="GD155" s="27" t="n"/>
      <c r="GE155" s="27" t="n"/>
      <c r="GF155" s="27" t="n"/>
      <c r="GG155" s="27" t="n"/>
      <c r="GH155" s="27" t="n"/>
      <c r="GI155" s="27" t="n"/>
      <c r="GJ155" s="27" t="n"/>
      <c r="GK155" s="27" t="n"/>
      <c r="GL155" s="27" t="n"/>
      <c r="GM155" s="27" t="n"/>
      <c r="GN155" s="27" t="n"/>
      <c r="GO155" s="27" t="n"/>
      <c r="GP155" s="27" t="n"/>
      <c r="GQ155" s="27" t="n"/>
      <c r="GR155" s="27" t="n"/>
      <c r="GS155" s="27" t="n"/>
      <c r="GT155" s="27" t="n"/>
      <c r="GU155" s="27" t="n"/>
      <c r="GV155" s="27" t="n"/>
      <c r="GW155" s="27" t="n"/>
      <c r="GX155" s="27" t="n"/>
      <c r="GY155" s="27" t="n"/>
      <c r="GZ155" s="27" t="n"/>
      <c r="HA155" s="27" t="n"/>
      <c r="HB155" s="27" t="n"/>
      <c r="HC155" s="27" t="n"/>
      <c r="HD155" s="27" t="n"/>
      <c r="HE155" s="27" t="n"/>
      <c r="HF155" s="27" t="n"/>
      <c r="HG155" s="27" t="n"/>
      <c r="HH155" s="27" t="n"/>
      <c r="HI155" s="27" t="n"/>
      <c r="HJ155" s="27" t="n"/>
      <c r="HK155" s="27" t="n"/>
      <c r="HL155" s="27" t="n"/>
      <c r="HM155" s="27" t="n"/>
      <c r="HN155" s="27" t="n"/>
      <c r="HO155" s="27" t="n"/>
      <c r="HP155" s="27" t="n"/>
      <c r="HQ155" s="27" t="n"/>
      <c r="HR155" s="27" t="n"/>
      <c r="HS155" s="27" t="n"/>
      <c r="HT155" s="27" t="n"/>
      <c r="HU155" s="27" t="n"/>
      <c r="HV155" s="27" t="n"/>
      <c r="HW155" s="27" t="n"/>
      <c r="HX155" s="27" t="n"/>
      <c r="HY155" s="27" t="n"/>
      <c r="HZ155" s="27" t="n"/>
      <c r="IA155" s="27" t="n"/>
      <c r="IB155" s="27" t="n"/>
      <c r="IC155" s="27" t="n"/>
      <c r="ID155" s="27" t="n"/>
      <c r="IE155" s="27" t="n"/>
      <c r="IF155" s="27" t="n"/>
      <c r="IG155" s="27" t="n"/>
      <c r="IH155" s="27" t="n"/>
      <c r="II155" s="27" t="n"/>
      <c r="IJ155" s="27" t="n"/>
      <c r="IK155" s="27" t="n"/>
      <c r="IL155" s="27" t="n"/>
      <c r="IM155" s="27" t="n"/>
      <c r="IN155" s="27" t="n"/>
      <c r="IO155" s="27" t="n"/>
      <c r="IP155" s="27" t="n"/>
      <c r="IQ155" s="27" t="n"/>
      <c r="IR155" s="27" t="n"/>
      <c r="IS155" s="27" t="n"/>
      <c r="IT155" s="27" t="n"/>
      <c r="IU155" s="27" t="n"/>
      <c r="IV155" s="27" t="n"/>
    </row>
    <row r="156" ht="13" customHeight="1" s="195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  <c r="AA156" s="27" t="n"/>
      <c r="AB156" s="27" t="n"/>
      <c r="AC156" s="27" t="n"/>
      <c r="AD156" s="27" t="n"/>
      <c r="AE156" s="27" t="n"/>
      <c r="AF156" s="27" t="n"/>
      <c r="AG156" s="27" t="n"/>
      <c r="AH156" s="27" t="n"/>
      <c r="AI156" s="27" t="n"/>
      <c r="AJ156" s="27" t="n"/>
      <c r="AK156" s="27" t="n"/>
      <c r="AL156" s="27" t="n"/>
      <c r="AM156" s="27" t="n"/>
      <c r="AN156" s="27" t="n"/>
      <c r="AO156" s="27" t="n"/>
      <c r="AP156" s="27" t="n"/>
      <c r="AQ156" s="27" t="n"/>
      <c r="AR156" s="27" t="n"/>
      <c r="AS156" s="27" t="n"/>
      <c r="AT156" s="27" t="n"/>
      <c r="AU156" s="27" t="n"/>
      <c r="AV156" s="27" t="n"/>
      <c r="AW156" s="27" t="n"/>
      <c r="AX156" s="27" t="n"/>
      <c r="AY156" s="27" t="n"/>
      <c r="AZ156" s="27" t="n"/>
      <c r="BA156" s="27" t="n"/>
      <c r="BB156" s="27" t="n"/>
      <c r="BC156" s="27" t="n"/>
      <c r="BD156" s="27" t="n"/>
      <c r="BE156" s="27" t="n"/>
      <c r="BF156" s="27" t="n"/>
      <c r="BG156" s="27" t="n"/>
      <c r="BH156" s="27" t="n"/>
      <c r="BI156" s="27" t="n"/>
      <c r="BJ156" s="27" t="n"/>
      <c r="BK156" s="27" t="n"/>
      <c r="BL156" s="27" t="n"/>
      <c r="BM156" s="27" t="n"/>
      <c r="BN156" s="27" t="n"/>
      <c r="BO156" s="27" t="n"/>
      <c r="BP156" s="27" t="n"/>
      <c r="BQ156" s="27" t="n"/>
      <c r="BR156" s="27" t="n"/>
      <c r="BS156" s="27" t="n"/>
      <c r="BT156" s="27" t="n"/>
      <c r="BU156" s="27" t="n"/>
      <c r="BV156" s="27" t="n"/>
      <c r="BW156" s="27" t="n"/>
      <c r="BX156" s="27" t="n"/>
      <c r="BY156" s="27" t="n"/>
      <c r="BZ156" s="27" t="n"/>
      <c r="CA156" s="27" t="n"/>
      <c r="CB156" s="27" t="n"/>
      <c r="CC156" s="27" t="n"/>
      <c r="CD156" s="27" t="n"/>
      <c r="CE156" s="27" t="n"/>
      <c r="CF156" s="27" t="n"/>
      <c r="CG156" s="27" t="n"/>
      <c r="CH156" s="27" t="n"/>
      <c r="CI156" s="27" t="n"/>
      <c r="CJ156" s="27" t="n"/>
      <c r="CK156" s="27" t="n"/>
      <c r="CL156" s="27" t="n"/>
      <c r="CM156" s="27" t="n"/>
      <c r="CN156" s="27" t="n"/>
      <c r="CO156" s="27" t="n"/>
      <c r="CP156" s="27" t="n"/>
      <c r="CQ156" s="27" t="n"/>
      <c r="CR156" s="27" t="n"/>
      <c r="CS156" s="27" t="n"/>
      <c r="CT156" s="27" t="n"/>
      <c r="CU156" s="27" t="n"/>
      <c r="CV156" s="27" t="n"/>
      <c r="CW156" s="27" t="n"/>
      <c r="CX156" s="27" t="n"/>
      <c r="CY156" s="27" t="n"/>
      <c r="CZ156" s="27" t="n"/>
      <c r="DA156" s="27" t="n"/>
      <c r="DB156" s="27" t="n"/>
      <c r="DC156" s="27" t="n"/>
      <c r="DD156" s="27" t="n"/>
      <c r="DE156" s="27" t="n"/>
      <c r="DF156" s="27" t="n"/>
      <c r="DG156" s="27" t="n"/>
      <c r="DH156" s="27" t="n"/>
      <c r="DI156" s="27" t="n"/>
      <c r="DJ156" s="27" t="n"/>
      <c r="DK156" s="27" t="n"/>
      <c r="DL156" s="27" t="n"/>
      <c r="DM156" s="27" t="n"/>
      <c r="DN156" s="27" t="n"/>
      <c r="DO156" s="27" t="n"/>
      <c r="DP156" s="27" t="n"/>
      <c r="DQ156" s="27" t="n"/>
      <c r="DR156" s="27" t="n"/>
      <c r="DS156" s="27" t="n"/>
      <c r="DT156" s="27" t="n"/>
      <c r="DU156" s="27" t="n"/>
      <c r="DV156" s="27" t="n"/>
      <c r="DW156" s="27" t="n"/>
      <c r="DX156" s="27" t="n"/>
      <c r="DY156" s="27" t="n"/>
      <c r="DZ156" s="27" t="n"/>
      <c r="EA156" s="27" t="n"/>
      <c r="EB156" s="27" t="n"/>
      <c r="EC156" s="27" t="n"/>
      <c r="ED156" s="27" t="n"/>
      <c r="EE156" s="27" t="n"/>
      <c r="EF156" s="27" t="n"/>
      <c r="EG156" s="27" t="n"/>
      <c r="EH156" s="27" t="n"/>
      <c r="EI156" s="27" t="n"/>
      <c r="EJ156" s="27" t="n"/>
      <c r="EK156" s="27" t="n"/>
      <c r="EL156" s="27" t="n"/>
      <c r="EM156" s="27" t="n"/>
      <c r="EN156" s="27" t="n"/>
      <c r="EO156" s="27" t="n"/>
      <c r="EP156" s="27" t="n"/>
      <c r="EQ156" s="27" t="n"/>
      <c r="ER156" s="27" t="n"/>
      <c r="ES156" s="27" t="n"/>
      <c r="ET156" s="27" t="n"/>
      <c r="EU156" s="27" t="n"/>
      <c r="EV156" s="27" t="n"/>
      <c r="EW156" s="27" t="n"/>
      <c r="EX156" s="27" t="n"/>
      <c r="EY156" s="27" t="n"/>
      <c r="EZ156" s="27" t="n"/>
      <c r="FA156" s="27" t="n"/>
      <c r="FB156" s="27" t="n"/>
      <c r="FC156" s="27" t="n"/>
      <c r="FD156" s="27" t="n"/>
      <c r="FE156" s="27" t="n"/>
      <c r="FF156" s="27" t="n"/>
      <c r="FG156" s="27" t="n"/>
      <c r="FH156" s="27" t="n"/>
      <c r="FI156" s="27" t="n"/>
      <c r="FJ156" s="27" t="n"/>
      <c r="FK156" s="27" t="n"/>
      <c r="FL156" s="27" t="n"/>
      <c r="FM156" s="27" t="n"/>
      <c r="FN156" s="27" t="n"/>
      <c r="FO156" s="27" t="n"/>
      <c r="FP156" s="27" t="n"/>
      <c r="FQ156" s="27" t="n"/>
      <c r="FR156" s="27" t="n"/>
      <c r="FS156" s="27" t="n"/>
      <c r="FT156" s="27" t="n"/>
      <c r="FU156" s="27" t="n"/>
      <c r="FV156" s="27" t="n"/>
      <c r="FW156" s="27" t="n"/>
      <c r="FX156" s="27" t="n"/>
      <c r="FY156" s="27" t="n"/>
      <c r="FZ156" s="27" t="n"/>
      <c r="GA156" s="27" t="n"/>
      <c r="GB156" s="27" t="n"/>
      <c r="GC156" s="27" t="n"/>
      <c r="GD156" s="27" t="n"/>
      <c r="GE156" s="27" t="n"/>
      <c r="GF156" s="27" t="n"/>
      <c r="GG156" s="27" t="n"/>
      <c r="GH156" s="27" t="n"/>
      <c r="GI156" s="27" t="n"/>
      <c r="GJ156" s="27" t="n"/>
      <c r="GK156" s="27" t="n"/>
      <c r="GL156" s="27" t="n"/>
      <c r="GM156" s="27" t="n"/>
      <c r="GN156" s="27" t="n"/>
      <c r="GO156" s="27" t="n"/>
      <c r="GP156" s="27" t="n"/>
      <c r="GQ156" s="27" t="n"/>
      <c r="GR156" s="27" t="n"/>
      <c r="GS156" s="27" t="n"/>
      <c r="GT156" s="27" t="n"/>
      <c r="GU156" s="27" t="n"/>
      <c r="GV156" s="27" t="n"/>
      <c r="GW156" s="27" t="n"/>
      <c r="GX156" s="27" t="n"/>
      <c r="GY156" s="27" t="n"/>
      <c r="GZ156" s="27" t="n"/>
      <c r="HA156" s="27" t="n"/>
      <c r="HB156" s="27" t="n"/>
      <c r="HC156" s="27" t="n"/>
      <c r="HD156" s="27" t="n"/>
      <c r="HE156" s="27" t="n"/>
      <c r="HF156" s="27" t="n"/>
      <c r="HG156" s="27" t="n"/>
      <c r="HH156" s="27" t="n"/>
      <c r="HI156" s="27" t="n"/>
      <c r="HJ156" s="27" t="n"/>
      <c r="HK156" s="27" t="n"/>
      <c r="HL156" s="27" t="n"/>
      <c r="HM156" s="27" t="n"/>
      <c r="HN156" s="27" t="n"/>
      <c r="HO156" s="27" t="n"/>
      <c r="HP156" s="27" t="n"/>
      <c r="HQ156" s="27" t="n"/>
      <c r="HR156" s="27" t="n"/>
      <c r="HS156" s="27" t="n"/>
      <c r="HT156" s="27" t="n"/>
      <c r="HU156" s="27" t="n"/>
      <c r="HV156" s="27" t="n"/>
      <c r="HW156" s="27" t="n"/>
      <c r="HX156" s="27" t="n"/>
      <c r="HY156" s="27" t="n"/>
      <c r="HZ156" s="27" t="n"/>
      <c r="IA156" s="27" t="n"/>
      <c r="IB156" s="27" t="n"/>
      <c r="IC156" s="27" t="n"/>
      <c r="ID156" s="27" t="n"/>
      <c r="IE156" s="27" t="n"/>
      <c r="IF156" s="27" t="n"/>
      <c r="IG156" s="27" t="n"/>
      <c r="IH156" s="27" t="n"/>
      <c r="II156" s="27" t="n"/>
      <c r="IJ156" s="27" t="n"/>
      <c r="IK156" s="27" t="n"/>
      <c r="IL156" s="27" t="n"/>
      <c r="IM156" s="27" t="n"/>
      <c r="IN156" s="27" t="n"/>
      <c r="IO156" s="27" t="n"/>
      <c r="IP156" s="27" t="n"/>
      <c r="IQ156" s="27" t="n"/>
      <c r="IR156" s="27" t="n"/>
      <c r="IS156" s="27" t="n"/>
      <c r="IT156" s="27" t="n"/>
      <c r="IU156" s="27" t="n"/>
      <c r="IV156" s="27" t="n"/>
    </row>
    <row r="157" ht="13" customHeight="1" s="195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  <c r="AA157" s="27" t="n"/>
      <c r="AB157" s="27" t="n"/>
      <c r="AC157" s="27" t="n"/>
      <c r="AD157" s="27" t="n"/>
      <c r="AE157" s="27" t="n"/>
      <c r="AF157" s="27" t="n"/>
      <c r="AG157" s="27" t="n"/>
      <c r="AH157" s="27" t="n"/>
      <c r="AI157" s="27" t="n"/>
      <c r="AJ157" s="27" t="n"/>
      <c r="AK157" s="27" t="n"/>
      <c r="AL157" s="27" t="n"/>
      <c r="AM157" s="27" t="n"/>
      <c r="AN157" s="27" t="n"/>
      <c r="AO157" s="27" t="n"/>
      <c r="AP157" s="27" t="n"/>
      <c r="AQ157" s="27" t="n"/>
      <c r="AR157" s="27" t="n"/>
      <c r="AS157" s="27" t="n"/>
      <c r="AT157" s="27" t="n"/>
      <c r="AU157" s="27" t="n"/>
      <c r="AV157" s="27" t="n"/>
      <c r="AW157" s="27" t="n"/>
      <c r="AX157" s="27" t="n"/>
      <c r="AY157" s="27" t="n"/>
      <c r="AZ157" s="27" t="n"/>
      <c r="BA157" s="27" t="n"/>
      <c r="BB157" s="27" t="n"/>
      <c r="BC157" s="27" t="n"/>
      <c r="BD157" s="27" t="n"/>
      <c r="BE157" s="27" t="n"/>
      <c r="BF157" s="27" t="n"/>
      <c r="BG157" s="27" t="n"/>
      <c r="BH157" s="27" t="n"/>
      <c r="BI157" s="27" t="n"/>
      <c r="BJ157" s="27" t="n"/>
      <c r="BK157" s="27" t="n"/>
      <c r="BL157" s="27" t="n"/>
      <c r="BM157" s="27" t="n"/>
      <c r="BN157" s="27" t="n"/>
      <c r="BO157" s="27" t="n"/>
      <c r="BP157" s="27" t="n"/>
      <c r="BQ157" s="27" t="n"/>
      <c r="BR157" s="27" t="n"/>
      <c r="BS157" s="27" t="n"/>
      <c r="BT157" s="27" t="n"/>
      <c r="BU157" s="27" t="n"/>
      <c r="BV157" s="27" t="n"/>
      <c r="BW157" s="27" t="n"/>
      <c r="BX157" s="27" t="n"/>
      <c r="BY157" s="27" t="n"/>
      <c r="BZ157" s="27" t="n"/>
      <c r="CA157" s="27" t="n"/>
      <c r="CB157" s="27" t="n"/>
      <c r="CC157" s="27" t="n"/>
      <c r="CD157" s="27" t="n"/>
      <c r="CE157" s="27" t="n"/>
      <c r="CF157" s="27" t="n"/>
      <c r="CG157" s="27" t="n"/>
      <c r="CH157" s="27" t="n"/>
      <c r="CI157" s="27" t="n"/>
      <c r="CJ157" s="27" t="n"/>
      <c r="CK157" s="27" t="n"/>
      <c r="CL157" s="27" t="n"/>
      <c r="CM157" s="27" t="n"/>
      <c r="CN157" s="27" t="n"/>
      <c r="CO157" s="27" t="n"/>
      <c r="CP157" s="27" t="n"/>
      <c r="CQ157" s="27" t="n"/>
      <c r="CR157" s="27" t="n"/>
      <c r="CS157" s="27" t="n"/>
      <c r="CT157" s="27" t="n"/>
      <c r="CU157" s="27" t="n"/>
      <c r="CV157" s="27" t="n"/>
      <c r="CW157" s="27" t="n"/>
      <c r="CX157" s="27" t="n"/>
      <c r="CY157" s="27" t="n"/>
      <c r="CZ157" s="27" t="n"/>
      <c r="DA157" s="27" t="n"/>
      <c r="DB157" s="27" t="n"/>
      <c r="DC157" s="27" t="n"/>
      <c r="DD157" s="27" t="n"/>
      <c r="DE157" s="27" t="n"/>
      <c r="DF157" s="27" t="n"/>
      <c r="DG157" s="27" t="n"/>
      <c r="DH157" s="27" t="n"/>
      <c r="DI157" s="27" t="n"/>
      <c r="DJ157" s="27" t="n"/>
      <c r="DK157" s="27" t="n"/>
      <c r="DL157" s="27" t="n"/>
      <c r="DM157" s="27" t="n"/>
      <c r="DN157" s="27" t="n"/>
      <c r="DO157" s="27" t="n"/>
      <c r="DP157" s="27" t="n"/>
      <c r="DQ157" s="27" t="n"/>
      <c r="DR157" s="27" t="n"/>
      <c r="DS157" s="27" t="n"/>
      <c r="DT157" s="27" t="n"/>
      <c r="DU157" s="27" t="n"/>
      <c r="DV157" s="27" t="n"/>
      <c r="DW157" s="27" t="n"/>
      <c r="DX157" s="27" t="n"/>
      <c r="DY157" s="27" t="n"/>
      <c r="DZ157" s="27" t="n"/>
      <c r="EA157" s="27" t="n"/>
      <c r="EB157" s="27" t="n"/>
      <c r="EC157" s="27" t="n"/>
      <c r="ED157" s="27" t="n"/>
      <c r="EE157" s="27" t="n"/>
      <c r="EF157" s="27" t="n"/>
      <c r="EG157" s="27" t="n"/>
      <c r="EH157" s="27" t="n"/>
      <c r="EI157" s="27" t="n"/>
      <c r="EJ157" s="27" t="n"/>
      <c r="EK157" s="27" t="n"/>
      <c r="EL157" s="27" t="n"/>
      <c r="EM157" s="27" t="n"/>
      <c r="EN157" s="27" t="n"/>
      <c r="EO157" s="27" t="n"/>
      <c r="EP157" s="27" t="n"/>
      <c r="EQ157" s="27" t="n"/>
      <c r="ER157" s="27" t="n"/>
      <c r="ES157" s="27" t="n"/>
      <c r="ET157" s="27" t="n"/>
      <c r="EU157" s="27" t="n"/>
      <c r="EV157" s="27" t="n"/>
      <c r="EW157" s="27" t="n"/>
      <c r="EX157" s="27" t="n"/>
      <c r="EY157" s="27" t="n"/>
      <c r="EZ157" s="27" t="n"/>
      <c r="FA157" s="27" t="n"/>
      <c r="FB157" s="27" t="n"/>
      <c r="FC157" s="27" t="n"/>
      <c r="FD157" s="27" t="n"/>
      <c r="FE157" s="27" t="n"/>
      <c r="FF157" s="27" t="n"/>
      <c r="FG157" s="27" t="n"/>
      <c r="FH157" s="27" t="n"/>
      <c r="FI157" s="27" t="n"/>
      <c r="FJ157" s="27" t="n"/>
      <c r="FK157" s="27" t="n"/>
      <c r="FL157" s="27" t="n"/>
      <c r="FM157" s="27" t="n"/>
      <c r="FN157" s="27" t="n"/>
      <c r="FO157" s="27" t="n"/>
      <c r="FP157" s="27" t="n"/>
      <c r="FQ157" s="27" t="n"/>
      <c r="FR157" s="27" t="n"/>
      <c r="FS157" s="27" t="n"/>
      <c r="FT157" s="27" t="n"/>
      <c r="FU157" s="27" t="n"/>
      <c r="FV157" s="27" t="n"/>
      <c r="FW157" s="27" t="n"/>
      <c r="FX157" s="27" t="n"/>
      <c r="FY157" s="27" t="n"/>
      <c r="FZ157" s="27" t="n"/>
      <c r="GA157" s="27" t="n"/>
      <c r="GB157" s="27" t="n"/>
      <c r="GC157" s="27" t="n"/>
      <c r="GD157" s="27" t="n"/>
      <c r="GE157" s="27" t="n"/>
      <c r="GF157" s="27" t="n"/>
      <c r="GG157" s="27" t="n"/>
      <c r="GH157" s="27" t="n"/>
      <c r="GI157" s="27" t="n"/>
      <c r="GJ157" s="27" t="n"/>
      <c r="GK157" s="27" t="n"/>
      <c r="GL157" s="27" t="n"/>
      <c r="GM157" s="27" t="n"/>
      <c r="GN157" s="27" t="n"/>
      <c r="GO157" s="27" t="n"/>
      <c r="GP157" s="27" t="n"/>
      <c r="GQ157" s="27" t="n"/>
      <c r="GR157" s="27" t="n"/>
      <c r="GS157" s="27" t="n"/>
      <c r="GT157" s="27" t="n"/>
      <c r="GU157" s="27" t="n"/>
      <c r="GV157" s="27" t="n"/>
      <c r="GW157" s="27" t="n"/>
      <c r="GX157" s="27" t="n"/>
      <c r="GY157" s="27" t="n"/>
      <c r="GZ157" s="27" t="n"/>
      <c r="HA157" s="27" t="n"/>
      <c r="HB157" s="27" t="n"/>
      <c r="HC157" s="27" t="n"/>
      <c r="HD157" s="27" t="n"/>
      <c r="HE157" s="27" t="n"/>
      <c r="HF157" s="27" t="n"/>
      <c r="HG157" s="27" t="n"/>
      <c r="HH157" s="27" t="n"/>
      <c r="HI157" s="27" t="n"/>
      <c r="HJ157" s="27" t="n"/>
      <c r="HK157" s="27" t="n"/>
      <c r="HL157" s="27" t="n"/>
      <c r="HM157" s="27" t="n"/>
      <c r="HN157" s="27" t="n"/>
      <c r="HO157" s="27" t="n"/>
      <c r="HP157" s="27" t="n"/>
      <c r="HQ157" s="27" t="n"/>
      <c r="HR157" s="27" t="n"/>
      <c r="HS157" s="27" t="n"/>
      <c r="HT157" s="27" t="n"/>
      <c r="HU157" s="27" t="n"/>
      <c r="HV157" s="27" t="n"/>
      <c r="HW157" s="27" t="n"/>
      <c r="HX157" s="27" t="n"/>
      <c r="HY157" s="27" t="n"/>
      <c r="HZ157" s="27" t="n"/>
      <c r="IA157" s="27" t="n"/>
      <c r="IB157" s="27" t="n"/>
      <c r="IC157" s="27" t="n"/>
      <c r="ID157" s="27" t="n"/>
      <c r="IE157" s="27" t="n"/>
      <c r="IF157" s="27" t="n"/>
      <c r="IG157" s="27" t="n"/>
      <c r="IH157" s="27" t="n"/>
      <c r="II157" s="27" t="n"/>
      <c r="IJ157" s="27" t="n"/>
      <c r="IK157" s="27" t="n"/>
      <c r="IL157" s="27" t="n"/>
      <c r="IM157" s="27" t="n"/>
      <c r="IN157" s="27" t="n"/>
      <c r="IO157" s="27" t="n"/>
      <c r="IP157" s="27" t="n"/>
      <c r="IQ157" s="27" t="n"/>
      <c r="IR157" s="27" t="n"/>
      <c r="IS157" s="27" t="n"/>
      <c r="IT157" s="27" t="n"/>
      <c r="IU157" s="27" t="n"/>
      <c r="IV157" s="27" t="n"/>
    </row>
    <row r="158" ht="13" customHeight="1" s="195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  <c r="AA158" s="27" t="n"/>
      <c r="AB158" s="27" t="n"/>
      <c r="AC158" s="27" t="n"/>
      <c r="AD158" s="27" t="n"/>
      <c r="AE158" s="27" t="n"/>
      <c r="AF158" s="27" t="n"/>
      <c r="AG158" s="27" t="n"/>
      <c r="AH158" s="27" t="n"/>
      <c r="AI158" s="27" t="n"/>
      <c r="AJ158" s="27" t="n"/>
      <c r="AK158" s="27" t="n"/>
      <c r="AL158" s="27" t="n"/>
      <c r="AM158" s="27" t="n"/>
      <c r="AN158" s="27" t="n"/>
      <c r="AO158" s="27" t="n"/>
      <c r="AP158" s="27" t="n"/>
      <c r="AQ158" s="27" t="n"/>
      <c r="AR158" s="27" t="n"/>
      <c r="AS158" s="27" t="n"/>
      <c r="AT158" s="27" t="n"/>
      <c r="AU158" s="27" t="n"/>
      <c r="AV158" s="27" t="n"/>
      <c r="AW158" s="27" t="n"/>
      <c r="AX158" s="27" t="n"/>
      <c r="AY158" s="27" t="n"/>
      <c r="AZ158" s="27" t="n"/>
      <c r="BA158" s="27" t="n"/>
      <c r="BB158" s="27" t="n"/>
      <c r="BC158" s="27" t="n"/>
      <c r="BD158" s="27" t="n"/>
      <c r="BE158" s="27" t="n"/>
      <c r="BF158" s="27" t="n"/>
      <c r="BG158" s="27" t="n"/>
      <c r="BH158" s="27" t="n"/>
      <c r="BI158" s="27" t="n"/>
      <c r="BJ158" s="27" t="n"/>
      <c r="BK158" s="27" t="n"/>
      <c r="BL158" s="27" t="n"/>
      <c r="BM158" s="27" t="n"/>
      <c r="BN158" s="27" t="n"/>
      <c r="BO158" s="27" t="n"/>
      <c r="BP158" s="27" t="n"/>
      <c r="BQ158" s="27" t="n"/>
      <c r="BR158" s="27" t="n"/>
      <c r="BS158" s="27" t="n"/>
      <c r="BT158" s="27" t="n"/>
      <c r="BU158" s="27" t="n"/>
      <c r="BV158" s="27" t="n"/>
      <c r="BW158" s="27" t="n"/>
      <c r="BX158" s="27" t="n"/>
      <c r="BY158" s="27" t="n"/>
      <c r="BZ158" s="27" t="n"/>
      <c r="CA158" s="27" t="n"/>
      <c r="CB158" s="27" t="n"/>
      <c r="CC158" s="27" t="n"/>
      <c r="CD158" s="27" t="n"/>
      <c r="CE158" s="27" t="n"/>
      <c r="CF158" s="27" t="n"/>
      <c r="CG158" s="27" t="n"/>
      <c r="CH158" s="27" t="n"/>
      <c r="CI158" s="27" t="n"/>
      <c r="CJ158" s="27" t="n"/>
      <c r="CK158" s="27" t="n"/>
      <c r="CL158" s="27" t="n"/>
      <c r="CM158" s="27" t="n"/>
      <c r="CN158" s="27" t="n"/>
      <c r="CO158" s="27" t="n"/>
      <c r="CP158" s="27" t="n"/>
      <c r="CQ158" s="27" t="n"/>
      <c r="CR158" s="27" t="n"/>
      <c r="CS158" s="27" t="n"/>
      <c r="CT158" s="27" t="n"/>
      <c r="CU158" s="27" t="n"/>
      <c r="CV158" s="27" t="n"/>
      <c r="CW158" s="27" t="n"/>
      <c r="CX158" s="27" t="n"/>
      <c r="CY158" s="27" t="n"/>
      <c r="CZ158" s="27" t="n"/>
      <c r="DA158" s="27" t="n"/>
      <c r="DB158" s="27" t="n"/>
      <c r="DC158" s="27" t="n"/>
      <c r="DD158" s="27" t="n"/>
      <c r="DE158" s="27" t="n"/>
      <c r="DF158" s="27" t="n"/>
      <c r="DG158" s="27" t="n"/>
      <c r="DH158" s="27" t="n"/>
      <c r="DI158" s="27" t="n"/>
      <c r="DJ158" s="27" t="n"/>
      <c r="DK158" s="27" t="n"/>
      <c r="DL158" s="27" t="n"/>
      <c r="DM158" s="27" t="n"/>
      <c r="DN158" s="27" t="n"/>
      <c r="DO158" s="27" t="n"/>
      <c r="DP158" s="27" t="n"/>
      <c r="DQ158" s="27" t="n"/>
      <c r="DR158" s="27" t="n"/>
      <c r="DS158" s="27" t="n"/>
      <c r="DT158" s="27" t="n"/>
      <c r="DU158" s="27" t="n"/>
      <c r="DV158" s="27" t="n"/>
      <c r="DW158" s="27" t="n"/>
      <c r="DX158" s="27" t="n"/>
      <c r="DY158" s="27" t="n"/>
      <c r="DZ158" s="27" t="n"/>
      <c r="EA158" s="27" t="n"/>
      <c r="EB158" s="27" t="n"/>
      <c r="EC158" s="27" t="n"/>
      <c r="ED158" s="27" t="n"/>
      <c r="EE158" s="27" t="n"/>
      <c r="EF158" s="27" t="n"/>
      <c r="EG158" s="27" t="n"/>
      <c r="EH158" s="27" t="n"/>
      <c r="EI158" s="27" t="n"/>
      <c r="EJ158" s="27" t="n"/>
      <c r="EK158" s="27" t="n"/>
      <c r="EL158" s="27" t="n"/>
      <c r="EM158" s="27" t="n"/>
      <c r="EN158" s="27" t="n"/>
      <c r="EO158" s="27" t="n"/>
      <c r="EP158" s="27" t="n"/>
      <c r="EQ158" s="27" t="n"/>
      <c r="ER158" s="27" t="n"/>
      <c r="ES158" s="27" t="n"/>
      <c r="ET158" s="27" t="n"/>
      <c r="EU158" s="27" t="n"/>
      <c r="EV158" s="27" t="n"/>
      <c r="EW158" s="27" t="n"/>
      <c r="EX158" s="27" t="n"/>
      <c r="EY158" s="27" t="n"/>
      <c r="EZ158" s="27" t="n"/>
      <c r="FA158" s="27" t="n"/>
      <c r="FB158" s="27" t="n"/>
      <c r="FC158" s="27" t="n"/>
      <c r="FD158" s="27" t="n"/>
      <c r="FE158" s="27" t="n"/>
      <c r="FF158" s="27" t="n"/>
      <c r="FG158" s="27" t="n"/>
      <c r="FH158" s="27" t="n"/>
      <c r="FI158" s="27" t="n"/>
      <c r="FJ158" s="27" t="n"/>
      <c r="FK158" s="27" t="n"/>
      <c r="FL158" s="27" t="n"/>
      <c r="FM158" s="27" t="n"/>
      <c r="FN158" s="27" t="n"/>
      <c r="FO158" s="27" t="n"/>
      <c r="FP158" s="27" t="n"/>
      <c r="FQ158" s="27" t="n"/>
      <c r="FR158" s="27" t="n"/>
      <c r="FS158" s="27" t="n"/>
      <c r="FT158" s="27" t="n"/>
      <c r="FU158" s="27" t="n"/>
      <c r="FV158" s="27" t="n"/>
      <c r="FW158" s="27" t="n"/>
      <c r="FX158" s="27" t="n"/>
      <c r="FY158" s="27" t="n"/>
      <c r="FZ158" s="27" t="n"/>
      <c r="GA158" s="27" t="n"/>
      <c r="GB158" s="27" t="n"/>
      <c r="GC158" s="27" t="n"/>
      <c r="GD158" s="27" t="n"/>
      <c r="GE158" s="27" t="n"/>
      <c r="GF158" s="27" t="n"/>
      <c r="GG158" s="27" t="n"/>
      <c r="GH158" s="27" t="n"/>
      <c r="GI158" s="27" t="n"/>
      <c r="GJ158" s="27" t="n"/>
      <c r="GK158" s="27" t="n"/>
      <c r="GL158" s="27" t="n"/>
      <c r="GM158" s="27" t="n"/>
      <c r="GN158" s="27" t="n"/>
      <c r="GO158" s="27" t="n"/>
      <c r="GP158" s="27" t="n"/>
      <c r="GQ158" s="27" t="n"/>
      <c r="GR158" s="27" t="n"/>
      <c r="GS158" s="27" t="n"/>
      <c r="GT158" s="27" t="n"/>
      <c r="GU158" s="27" t="n"/>
      <c r="GV158" s="27" t="n"/>
      <c r="GW158" s="27" t="n"/>
      <c r="GX158" s="27" t="n"/>
      <c r="GY158" s="27" t="n"/>
      <c r="GZ158" s="27" t="n"/>
      <c r="HA158" s="27" t="n"/>
      <c r="HB158" s="27" t="n"/>
      <c r="HC158" s="27" t="n"/>
      <c r="HD158" s="27" t="n"/>
      <c r="HE158" s="27" t="n"/>
      <c r="HF158" s="27" t="n"/>
      <c r="HG158" s="27" t="n"/>
      <c r="HH158" s="27" t="n"/>
      <c r="HI158" s="27" t="n"/>
      <c r="HJ158" s="27" t="n"/>
      <c r="HK158" s="27" t="n"/>
      <c r="HL158" s="27" t="n"/>
      <c r="HM158" s="27" t="n"/>
      <c r="HN158" s="27" t="n"/>
      <c r="HO158" s="27" t="n"/>
      <c r="HP158" s="27" t="n"/>
      <c r="HQ158" s="27" t="n"/>
      <c r="HR158" s="27" t="n"/>
      <c r="HS158" s="27" t="n"/>
      <c r="HT158" s="27" t="n"/>
      <c r="HU158" s="27" t="n"/>
      <c r="HV158" s="27" t="n"/>
      <c r="HW158" s="27" t="n"/>
      <c r="HX158" s="27" t="n"/>
      <c r="HY158" s="27" t="n"/>
      <c r="HZ158" s="27" t="n"/>
      <c r="IA158" s="27" t="n"/>
      <c r="IB158" s="27" t="n"/>
      <c r="IC158" s="27" t="n"/>
      <c r="ID158" s="27" t="n"/>
      <c r="IE158" s="27" t="n"/>
      <c r="IF158" s="27" t="n"/>
      <c r="IG158" s="27" t="n"/>
      <c r="IH158" s="27" t="n"/>
      <c r="II158" s="27" t="n"/>
      <c r="IJ158" s="27" t="n"/>
      <c r="IK158" s="27" t="n"/>
      <c r="IL158" s="27" t="n"/>
      <c r="IM158" s="27" t="n"/>
      <c r="IN158" s="27" t="n"/>
      <c r="IO158" s="27" t="n"/>
      <c r="IP158" s="27" t="n"/>
      <c r="IQ158" s="27" t="n"/>
      <c r="IR158" s="27" t="n"/>
      <c r="IS158" s="27" t="n"/>
      <c r="IT158" s="27" t="n"/>
      <c r="IU158" s="27" t="n"/>
      <c r="IV158" s="27" t="n"/>
    </row>
    <row r="159" ht="13" customHeight="1" s="195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  <c r="AA159" s="27" t="n"/>
      <c r="AB159" s="27" t="n"/>
      <c r="AC159" s="27" t="n"/>
      <c r="AD159" s="27" t="n"/>
      <c r="AE159" s="27" t="n"/>
      <c r="AF159" s="27" t="n"/>
      <c r="AG159" s="27" t="n"/>
      <c r="AH159" s="27" t="n"/>
      <c r="AI159" s="27" t="n"/>
      <c r="AJ159" s="27" t="n"/>
      <c r="AK159" s="27" t="n"/>
      <c r="AL159" s="27" t="n"/>
      <c r="AM159" s="27" t="n"/>
      <c r="AN159" s="27" t="n"/>
      <c r="AO159" s="27" t="n"/>
      <c r="AP159" s="27" t="n"/>
      <c r="AQ159" s="27" t="n"/>
      <c r="AR159" s="27" t="n"/>
      <c r="AS159" s="27" t="n"/>
      <c r="AT159" s="27" t="n"/>
      <c r="AU159" s="27" t="n"/>
      <c r="AV159" s="27" t="n"/>
      <c r="AW159" s="27" t="n"/>
      <c r="AX159" s="27" t="n"/>
      <c r="AY159" s="27" t="n"/>
      <c r="AZ159" s="27" t="n"/>
      <c r="BA159" s="27" t="n"/>
      <c r="BB159" s="27" t="n"/>
      <c r="BC159" s="27" t="n"/>
      <c r="BD159" s="27" t="n"/>
      <c r="BE159" s="27" t="n"/>
      <c r="BF159" s="27" t="n"/>
      <c r="BG159" s="27" t="n"/>
      <c r="BH159" s="27" t="n"/>
      <c r="BI159" s="27" t="n"/>
      <c r="BJ159" s="27" t="n"/>
      <c r="BK159" s="27" t="n"/>
      <c r="BL159" s="27" t="n"/>
      <c r="BM159" s="27" t="n"/>
      <c r="BN159" s="27" t="n"/>
      <c r="BO159" s="27" t="n"/>
      <c r="BP159" s="27" t="n"/>
      <c r="BQ159" s="27" t="n"/>
      <c r="BR159" s="27" t="n"/>
      <c r="BS159" s="27" t="n"/>
      <c r="BT159" s="27" t="n"/>
      <c r="BU159" s="27" t="n"/>
      <c r="BV159" s="27" t="n"/>
      <c r="BW159" s="27" t="n"/>
      <c r="BX159" s="27" t="n"/>
      <c r="BY159" s="27" t="n"/>
      <c r="BZ159" s="27" t="n"/>
      <c r="CA159" s="27" t="n"/>
      <c r="CB159" s="27" t="n"/>
      <c r="CC159" s="27" t="n"/>
      <c r="CD159" s="27" t="n"/>
      <c r="CE159" s="27" t="n"/>
      <c r="CF159" s="27" t="n"/>
      <c r="CG159" s="27" t="n"/>
      <c r="CH159" s="27" t="n"/>
      <c r="CI159" s="27" t="n"/>
      <c r="CJ159" s="27" t="n"/>
      <c r="CK159" s="27" t="n"/>
      <c r="CL159" s="27" t="n"/>
      <c r="CM159" s="27" t="n"/>
      <c r="CN159" s="27" t="n"/>
      <c r="CO159" s="27" t="n"/>
      <c r="CP159" s="27" t="n"/>
      <c r="CQ159" s="27" t="n"/>
      <c r="CR159" s="27" t="n"/>
      <c r="CS159" s="27" t="n"/>
      <c r="CT159" s="27" t="n"/>
      <c r="CU159" s="27" t="n"/>
      <c r="CV159" s="27" t="n"/>
      <c r="CW159" s="27" t="n"/>
      <c r="CX159" s="27" t="n"/>
      <c r="CY159" s="27" t="n"/>
      <c r="CZ159" s="27" t="n"/>
      <c r="DA159" s="27" t="n"/>
      <c r="DB159" s="27" t="n"/>
      <c r="DC159" s="27" t="n"/>
      <c r="DD159" s="27" t="n"/>
      <c r="DE159" s="27" t="n"/>
      <c r="DF159" s="27" t="n"/>
      <c r="DG159" s="27" t="n"/>
      <c r="DH159" s="27" t="n"/>
      <c r="DI159" s="27" t="n"/>
      <c r="DJ159" s="27" t="n"/>
      <c r="DK159" s="27" t="n"/>
      <c r="DL159" s="27" t="n"/>
      <c r="DM159" s="27" t="n"/>
      <c r="DN159" s="27" t="n"/>
      <c r="DO159" s="27" t="n"/>
      <c r="DP159" s="27" t="n"/>
      <c r="DQ159" s="27" t="n"/>
      <c r="DR159" s="27" t="n"/>
      <c r="DS159" s="27" t="n"/>
      <c r="DT159" s="27" t="n"/>
      <c r="DU159" s="27" t="n"/>
      <c r="DV159" s="27" t="n"/>
      <c r="DW159" s="27" t="n"/>
      <c r="DX159" s="27" t="n"/>
      <c r="DY159" s="27" t="n"/>
      <c r="DZ159" s="27" t="n"/>
      <c r="EA159" s="27" t="n"/>
      <c r="EB159" s="27" t="n"/>
      <c r="EC159" s="27" t="n"/>
      <c r="ED159" s="27" t="n"/>
      <c r="EE159" s="27" t="n"/>
      <c r="EF159" s="27" t="n"/>
      <c r="EG159" s="27" t="n"/>
      <c r="EH159" s="27" t="n"/>
      <c r="EI159" s="27" t="n"/>
      <c r="EJ159" s="27" t="n"/>
      <c r="EK159" s="27" t="n"/>
      <c r="EL159" s="27" t="n"/>
      <c r="EM159" s="27" t="n"/>
      <c r="EN159" s="27" t="n"/>
      <c r="EO159" s="27" t="n"/>
      <c r="EP159" s="27" t="n"/>
      <c r="EQ159" s="27" t="n"/>
      <c r="ER159" s="27" t="n"/>
      <c r="ES159" s="27" t="n"/>
      <c r="ET159" s="27" t="n"/>
      <c r="EU159" s="27" t="n"/>
      <c r="EV159" s="27" t="n"/>
      <c r="EW159" s="27" t="n"/>
      <c r="EX159" s="27" t="n"/>
      <c r="EY159" s="27" t="n"/>
      <c r="EZ159" s="27" t="n"/>
      <c r="FA159" s="27" t="n"/>
      <c r="FB159" s="27" t="n"/>
      <c r="FC159" s="27" t="n"/>
      <c r="FD159" s="27" t="n"/>
      <c r="FE159" s="27" t="n"/>
      <c r="FF159" s="27" t="n"/>
      <c r="FG159" s="27" t="n"/>
      <c r="FH159" s="27" t="n"/>
      <c r="FI159" s="27" t="n"/>
      <c r="FJ159" s="27" t="n"/>
      <c r="FK159" s="27" t="n"/>
      <c r="FL159" s="27" t="n"/>
      <c r="FM159" s="27" t="n"/>
      <c r="FN159" s="27" t="n"/>
      <c r="FO159" s="27" t="n"/>
      <c r="FP159" s="27" t="n"/>
      <c r="FQ159" s="27" t="n"/>
      <c r="FR159" s="27" t="n"/>
      <c r="FS159" s="27" t="n"/>
      <c r="FT159" s="27" t="n"/>
      <c r="FU159" s="27" t="n"/>
      <c r="FV159" s="27" t="n"/>
      <c r="FW159" s="27" t="n"/>
      <c r="FX159" s="27" t="n"/>
      <c r="FY159" s="27" t="n"/>
      <c r="FZ159" s="27" t="n"/>
      <c r="GA159" s="27" t="n"/>
      <c r="GB159" s="27" t="n"/>
      <c r="GC159" s="27" t="n"/>
      <c r="GD159" s="27" t="n"/>
      <c r="GE159" s="27" t="n"/>
      <c r="GF159" s="27" t="n"/>
      <c r="GG159" s="27" t="n"/>
      <c r="GH159" s="27" t="n"/>
      <c r="GI159" s="27" t="n"/>
      <c r="GJ159" s="27" t="n"/>
      <c r="GK159" s="27" t="n"/>
      <c r="GL159" s="27" t="n"/>
      <c r="GM159" s="27" t="n"/>
      <c r="GN159" s="27" t="n"/>
      <c r="GO159" s="27" t="n"/>
      <c r="GP159" s="27" t="n"/>
      <c r="GQ159" s="27" t="n"/>
      <c r="GR159" s="27" t="n"/>
      <c r="GS159" s="27" t="n"/>
      <c r="GT159" s="27" t="n"/>
      <c r="GU159" s="27" t="n"/>
      <c r="GV159" s="27" t="n"/>
      <c r="GW159" s="27" t="n"/>
      <c r="GX159" s="27" t="n"/>
      <c r="GY159" s="27" t="n"/>
      <c r="GZ159" s="27" t="n"/>
      <c r="HA159" s="27" t="n"/>
      <c r="HB159" s="27" t="n"/>
      <c r="HC159" s="27" t="n"/>
      <c r="HD159" s="27" t="n"/>
      <c r="HE159" s="27" t="n"/>
      <c r="HF159" s="27" t="n"/>
      <c r="HG159" s="27" t="n"/>
      <c r="HH159" s="27" t="n"/>
      <c r="HI159" s="27" t="n"/>
      <c r="HJ159" s="27" t="n"/>
      <c r="HK159" s="27" t="n"/>
      <c r="HL159" s="27" t="n"/>
      <c r="HM159" s="27" t="n"/>
      <c r="HN159" s="27" t="n"/>
      <c r="HO159" s="27" t="n"/>
      <c r="HP159" s="27" t="n"/>
      <c r="HQ159" s="27" t="n"/>
      <c r="HR159" s="27" t="n"/>
      <c r="HS159" s="27" t="n"/>
      <c r="HT159" s="27" t="n"/>
      <c r="HU159" s="27" t="n"/>
      <c r="HV159" s="27" t="n"/>
      <c r="HW159" s="27" t="n"/>
      <c r="HX159" s="27" t="n"/>
      <c r="HY159" s="27" t="n"/>
      <c r="HZ159" s="27" t="n"/>
      <c r="IA159" s="27" t="n"/>
      <c r="IB159" s="27" t="n"/>
      <c r="IC159" s="27" t="n"/>
      <c r="ID159" s="27" t="n"/>
      <c r="IE159" s="27" t="n"/>
      <c r="IF159" s="27" t="n"/>
      <c r="IG159" s="27" t="n"/>
      <c r="IH159" s="27" t="n"/>
      <c r="II159" s="27" t="n"/>
      <c r="IJ159" s="27" t="n"/>
      <c r="IK159" s="27" t="n"/>
      <c r="IL159" s="27" t="n"/>
      <c r="IM159" s="27" t="n"/>
      <c r="IN159" s="27" t="n"/>
      <c r="IO159" s="27" t="n"/>
      <c r="IP159" s="27" t="n"/>
      <c r="IQ159" s="27" t="n"/>
      <c r="IR159" s="27" t="n"/>
      <c r="IS159" s="27" t="n"/>
      <c r="IT159" s="27" t="n"/>
      <c r="IU159" s="27" t="n"/>
      <c r="IV159" s="27" t="n"/>
    </row>
    <row r="160" ht="13" customHeight="1" s="195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  <c r="AA160" s="27" t="n"/>
      <c r="AB160" s="27" t="n"/>
      <c r="AC160" s="27" t="n"/>
      <c r="AD160" s="27" t="n"/>
      <c r="AE160" s="27" t="n"/>
      <c r="AF160" s="27" t="n"/>
      <c r="AG160" s="27" t="n"/>
      <c r="AH160" s="27" t="n"/>
      <c r="AI160" s="27" t="n"/>
      <c r="AJ160" s="27" t="n"/>
      <c r="AK160" s="27" t="n"/>
      <c r="AL160" s="27" t="n"/>
      <c r="AM160" s="27" t="n"/>
      <c r="AN160" s="27" t="n"/>
      <c r="AO160" s="27" t="n"/>
      <c r="AP160" s="27" t="n"/>
      <c r="AQ160" s="27" t="n"/>
      <c r="AR160" s="27" t="n"/>
      <c r="AS160" s="27" t="n"/>
      <c r="AT160" s="27" t="n"/>
      <c r="AU160" s="27" t="n"/>
      <c r="AV160" s="27" t="n"/>
      <c r="AW160" s="27" t="n"/>
      <c r="AX160" s="27" t="n"/>
      <c r="AY160" s="27" t="n"/>
      <c r="AZ160" s="27" t="n"/>
      <c r="BA160" s="27" t="n"/>
      <c r="BB160" s="27" t="n"/>
      <c r="BC160" s="27" t="n"/>
      <c r="BD160" s="27" t="n"/>
      <c r="BE160" s="27" t="n"/>
      <c r="BF160" s="27" t="n"/>
      <c r="BG160" s="27" t="n"/>
      <c r="BH160" s="27" t="n"/>
      <c r="BI160" s="27" t="n"/>
      <c r="BJ160" s="27" t="n"/>
      <c r="BK160" s="27" t="n"/>
      <c r="BL160" s="27" t="n"/>
      <c r="BM160" s="27" t="n"/>
      <c r="BN160" s="27" t="n"/>
      <c r="BO160" s="27" t="n"/>
      <c r="BP160" s="27" t="n"/>
      <c r="BQ160" s="27" t="n"/>
      <c r="BR160" s="27" t="n"/>
      <c r="BS160" s="27" t="n"/>
      <c r="BT160" s="27" t="n"/>
      <c r="BU160" s="27" t="n"/>
      <c r="BV160" s="27" t="n"/>
      <c r="BW160" s="27" t="n"/>
      <c r="BX160" s="27" t="n"/>
      <c r="BY160" s="27" t="n"/>
      <c r="BZ160" s="27" t="n"/>
      <c r="CA160" s="27" t="n"/>
      <c r="CB160" s="27" t="n"/>
      <c r="CC160" s="27" t="n"/>
      <c r="CD160" s="27" t="n"/>
      <c r="CE160" s="27" t="n"/>
      <c r="CF160" s="27" t="n"/>
      <c r="CG160" s="27" t="n"/>
      <c r="CH160" s="27" t="n"/>
      <c r="CI160" s="27" t="n"/>
      <c r="CJ160" s="27" t="n"/>
      <c r="CK160" s="27" t="n"/>
      <c r="CL160" s="27" t="n"/>
      <c r="CM160" s="27" t="n"/>
      <c r="CN160" s="27" t="n"/>
      <c r="CO160" s="27" t="n"/>
      <c r="CP160" s="27" t="n"/>
      <c r="CQ160" s="27" t="n"/>
      <c r="CR160" s="27" t="n"/>
      <c r="CS160" s="27" t="n"/>
      <c r="CT160" s="27" t="n"/>
      <c r="CU160" s="27" t="n"/>
      <c r="CV160" s="27" t="n"/>
      <c r="CW160" s="27" t="n"/>
      <c r="CX160" s="27" t="n"/>
      <c r="CY160" s="27" t="n"/>
      <c r="CZ160" s="27" t="n"/>
      <c r="DA160" s="27" t="n"/>
      <c r="DB160" s="27" t="n"/>
      <c r="DC160" s="27" t="n"/>
      <c r="DD160" s="27" t="n"/>
      <c r="DE160" s="27" t="n"/>
      <c r="DF160" s="27" t="n"/>
      <c r="DG160" s="27" t="n"/>
      <c r="DH160" s="27" t="n"/>
      <c r="DI160" s="27" t="n"/>
      <c r="DJ160" s="27" t="n"/>
      <c r="DK160" s="27" t="n"/>
      <c r="DL160" s="27" t="n"/>
      <c r="DM160" s="27" t="n"/>
      <c r="DN160" s="27" t="n"/>
      <c r="DO160" s="27" t="n"/>
      <c r="DP160" s="27" t="n"/>
      <c r="DQ160" s="27" t="n"/>
      <c r="DR160" s="27" t="n"/>
      <c r="DS160" s="27" t="n"/>
      <c r="DT160" s="27" t="n"/>
      <c r="DU160" s="27" t="n"/>
      <c r="DV160" s="27" t="n"/>
      <c r="DW160" s="27" t="n"/>
      <c r="DX160" s="27" t="n"/>
      <c r="DY160" s="27" t="n"/>
      <c r="DZ160" s="27" t="n"/>
      <c r="EA160" s="27" t="n"/>
      <c r="EB160" s="27" t="n"/>
      <c r="EC160" s="27" t="n"/>
      <c r="ED160" s="27" t="n"/>
      <c r="EE160" s="27" t="n"/>
      <c r="EF160" s="27" t="n"/>
      <c r="EG160" s="27" t="n"/>
      <c r="EH160" s="27" t="n"/>
      <c r="EI160" s="27" t="n"/>
      <c r="EJ160" s="27" t="n"/>
      <c r="EK160" s="27" t="n"/>
      <c r="EL160" s="27" t="n"/>
      <c r="EM160" s="27" t="n"/>
      <c r="EN160" s="27" t="n"/>
      <c r="EO160" s="27" t="n"/>
      <c r="EP160" s="27" t="n"/>
      <c r="EQ160" s="27" t="n"/>
      <c r="ER160" s="27" t="n"/>
      <c r="ES160" s="27" t="n"/>
      <c r="ET160" s="27" t="n"/>
      <c r="EU160" s="27" t="n"/>
      <c r="EV160" s="27" t="n"/>
      <c r="EW160" s="27" t="n"/>
      <c r="EX160" s="27" t="n"/>
      <c r="EY160" s="27" t="n"/>
      <c r="EZ160" s="27" t="n"/>
      <c r="FA160" s="27" t="n"/>
      <c r="FB160" s="27" t="n"/>
      <c r="FC160" s="27" t="n"/>
      <c r="FD160" s="27" t="n"/>
      <c r="FE160" s="27" t="n"/>
      <c r="FF160" s="27" t="n"/>
      <c r="FG160" s="27" t="n"/>
      <c r="FH160" s="27" t="n"/>
      <c r="FI160" s="27" t="n"/>
      <c r="FJ160" s="27" t="n"/>
      <c r="FK160" s="27" t="n"/>
      <c r="FL160" s="27" t="n"/>
      <c r="FM160" s="27" t="n"/>
      <c r="FN160" s="27" t="n"/>
      <c r="FO160" s="27" t="n"/>
      <c r="FP160" s="27" t="n"/>
      <c r="FQ160" s="27" t="n"/>
      <c r="FR160" s="27" t="n"/>
      <c r="FS160" s="27" t="n"/>
      <c r="FT160" s="27" t="n"/>
      <c r="FU160" s="27" t="n"/>
      <c r="FV160" s="27" t="n"/>
      <c r="FW160" s="27" t="n"/>
      <c r="FX160" s="27" t="n"/>
      <c r="FY160" s="27" t="n"/>
      <c r="FZ160" s="27" t="n"/>
      <c r="GA160" s="27" t="n"/>
      <c r="GB160" s="27" t="n"/>
      <c r="GC160" s="27" t="n"/>
      <c r="GD160" s="27" t="n"/>
      <c r="GE160" s="27" t="n"/>
      <c r="GF160" s="27" t="n"/>
      <c r="GG160" s="27" t="n"/>
      <c r="GH160" s="27" t="n"/>
      <c r="GI160" s="27" t="n"/>
      <c r="GJ160" s="27" t="n"/>
      <c r="GK160" s="27" t="n"/>
      <c r="GL160" s="27" t="n"/>
      <c r="GM160" s="27" t="n"/>
      <c r="GN160" s="27" t="n"/>
      <c r="GO160" s="27" t="n"/>
      <c r="GP160" s="27" t="n"/>
      <c r="GQ160" s="27" t="n"/>
      <c r="GR160" s="27" t="n"/>
      <c r="GS160" s="27" t="n"/>
      <c r="GT160" s="27" t="n"/>
      <c r="GU160" s="27" t="n"/>
      <c r="GV160" s="27" t="n"/>
      <c r="GW160" s="27" t="n"/>
      <c r="GX160" s="27" t="n"/>
      <c r="GY160" s="27" t="n"/>
      <c r="GZ160" s="27" t="n"/>
      <c r="HA160" s="27" t="n"/>
      <c r="HB160" s="27" t="n"/>
      <c r="HC160" s="27" t="n"/>
      <c r="HD160" s="27" t="n"/>
      <c r="HE160" s="27" t="n"/>
      <c r="HF160" s="27" t="n"/>
      <c r="HG160" s="27" t="n"/>
      <c r="HH160" s="27" t="n"/>
      <c r="HI160" s="27" t="n"/>
      <c r="HJ160" s="27" t="n"/>
      <c r="HK160" s="27" t="n"/>
      <c r="HL160" s="27" t="n"/>
      <c r="HM160" s="27" t="n"/>
      <c r="HN160" s="27" t="n"/>
      <c r="HO160" s="27" t="n"/>
      <c r="HP160" s="27" t="n"/>
      <c r="HQ160" s="27" t="n"/>
      <c r="HR160" s="27" t="n"/>
      <c r="HS160" s="27" t="n"/>
      <c r="HT160" s="27" t="n"/>
      <c r="HU160" s="27" t="n"/>
      <c r="HV160" s="27" t="n"/>
      <c r="HW160" s="27" t="n"/>
      <c r="HX160" s="27" t="n"/>
      <c r="HY160" s="27" t="n"/>
      <c r="HZ160" s="27" t="n"/>
      <c r="IA160" s="27" t="n"/>
      <c r="IB160" s="27" t="n"/>
      <c r="IC160" s="27" t="n"/>
      <c r="ID160" s="27" t="n"/>
      <c r="IE160" s="27" t="n"/>
      <c r="IF160" s="27" t="n"/>
      <c r="IG160" s="27" t="n"/>
      <c r="IH160" s="27" t="n"/>
      <c r="II160" s="27" t="n"/>
      <c r="IJ160" s="27" t="n"/>
      <c r="IK160" s="27" t="n"/>
      <c r="IL160" s="27" t="n"/>
      <c r="IM160" s="27" t="n"/>
      <c r="IN160" s="27" t="n"/>
      <c r="IO160" s="27" t="n"/>
      <c r="IP160" s="27" t="n"/>
      <c r="IQ160" s="27" t="n"/>
      <c r="IR160" s="27" t="n"/>
      <c r="IS160" s="27" t="n"/>
      <c r="IT160" s="27" t="n"/>
      <c r="IU160" s="27" t="n"/>
      <c r="IV160" s="27" t="n"/>
    </row>
    <row r="161" ht="13" customHeight="1" s="195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  <c r="AA161" s="27" t="n"/>
      <c r="AB161" s="27" t="n"/>
      <c r="AC161" s="27" t="n"/>
      <c r="AD161" s="27" t="n"/>
      <c r="AE161" s="27" t="n"/>
      <c r="AF161" s="27" t="n"/>
      <c r="AG161" s="27" t="n"/>
      <c r="AH161" s="27" t="n"/>
      <c r="AI161" s="27" t="n"/>
      <c r="AJ161" s="27" t="n"/>
      <c r="AK161" s="27" t="n"/>
      <c r="AL161" s="27" t="n"/>
      <c r="AM161" s="27" t="n"/>
      <c r="AN161" s="27" t="n"/>
      <c r="AO161" s="27" t="n"/>
      <c r="AP161" s="27" t="n"/>
      <c r="AQ161" s="27" t="n"/>
      <c r="AR161" s="27" t="n"/>
      <c r="AS161" s="27" t="n"/>
      <c r="AT161" s="27" t="n"/>
      <c r="AU161" s="27" t="n"/>
      <c r="AV161" s="27" t="n"/>
      <c r="AW161" s="27" t="n"/>
      <c r="AX161" s="27" t="n"/>
      <c r="AY161" s="27" t="n"/>
      <c r="AZ161" s="27" t="n"/>
      <c r="BA161" s="27" t="n"/>
      <c r="BB161" s="27" t="n"/>
      <c r="BC161" s="27" t="n"/>
      <c r="BD161" s="27" t="n"/>
      <c r="BE161" s="27" t="n"/>
      <c r="BF161" s="27" t="n"/>
      <c r="BG161" s="27" t="n"/>
      <c r="BH161" s="27" t="n"/>
      <c r="BI161" s="27" t="n"/>
      <c r="BJ161" s="27" t="n"/>
      <c r="BK161" s="27" t="n"/>
      <c r="BL161" s="27" t="n"/>
      <c r="BM161" s="27" t="n"/>
      <c r="BN161" s="27" t="n"/>
      <c r="BO161" s="27" t="n"/>
      <c r="BP161" s="27" t="n"/>
      <c r="BQ161" s="27" t="n"/>
      <c r="BR161" s="27" t="n"/>
      <c r="BS161" s="27" t="n"/>
      <c r="BT161" s="27" t="n"/>
      <c r="BU161" s="27" t="n"/>
      <c r="BV161" s="27" t="n"/>
      <c r="BW161" s="27" t="n"/>
      <c r="BX161" s="27" t="n"/>
      <c r="BY161" s="27" t="n"/>
      <c r="BZ161" s="27" t="n"/>
      <c r="CA161" s="27" t="n"/>
      <c r="CB161" s="27" t="n"/>
      <c r="CC161" s="27" t="n"/>
      <c r="CD161" s="27" t="n"/>
      <c r="CE161" s="27" t="n"/>
      <c r="CF161" s="27" t="n"/>
      <c r="CG161" s="27" t="n"/>
      <c r="CH161" s="27" t="n"/>
      <c r="CI161" s="27" t="n"/>
      <c r="CJ161" s="27" t="n"/>
      <c r="CK161" s="27" t="n"/>
      <c r="CL161" s="27" t="n"/>
      <c r="CM161" s="27" t="n"/>
      <c r="CN161" s="27" t="n"/>
      <c r="CO161" s="27" t="n"/>
      <c r="CP161" s="27" t="n"/>
      <c r="CQ161" s="27" t="n"/>
      <c r="CR161" s="27" t="n"/>
      <c r="CS161" s="27" t="n"/>
      <c r="CT161" s="27" t="n"/>
      <c r="CU161" s="27" t="n"/>
      <c r="CV161" s="27" t="n"/>
      <c r="CW161" s="27" t="n"/>
      <c r="CX161" s="27" t="n"/>
      <c r="CY161" s="27" t="n"/>
      <c r="CZ161" s="27" t="n"/>
      <c r="DA161" s="27" t="n"/>
      <c r="DB161" s="27" t="n"/>
      <c r="DC161" s="27" t="n"/>
      <c r="DD161" s="27" t="n"/>
      <c r="DE161" s="27" t="n"/>
      <c r="DF161" s="27" t="n"/>
      <c r="DG161" s="27" t="n"/>
      <c r="DH161" s="27" t="n"/>
      <c r="DI161" s="27" t="n"/>
      <c r="DJ161" s="27" t="n"/>
      <c r="DK161" s="27" t="n"/>
      <c r="DL161" s="27" t="n"/>
      <c r="DM161" s="27" t="n"/>
      <c r="DN161" s="27" t="n"/>
      <c r="DO161" s="27" t="n"/>
      <c r="DP161" s="27" t="n"/>
      <c r="DQ161" s="27" t="n"/>
      <c r="DR161" s="27" t="n"/>
      <c r="DS161" s="27" t="n"/>
      <c r="DT161" s="27" t="n"/>
      <c r="DU161" s="27" t="n"/>
      <c r="DV161" s="27" t="n"/>
      <c r="DW161" s="27" t="n"/>
      <c r="DX161" s="27" t="n"/>
      <c r="DY161" s="27" t="n"/>
      <c r="DZ161" s="27" t="n"/>
      <c r="EA161" s="27" t="n"/>
      <c r="EB161" s="27" t="n"/>
      <c r="EC161" s="27" t="n"/>
      <c r="ED161" s="27" t="n"/>
      <c r="EE161" s="27" t="n"/>
      <c r="EF161" s="27" t="n"/>
      <c r="EG161" s="27" t="n"/>
      <c r="EH161" s="27" t="n"/>
      <c r="EI161" s="27" t="n"/>
      <c r="EJ161" s="27" t="n"/>
      <c r="EK161" s="27" t="n"/>
      <c r="EL161" s="27" t="n"/>
      <c r="EM161" s="27" t="n"/>
      <c r="EN161" s="27" t="n"/>
      <c r="EO161" s="27" t="n"/>
      <c r="EP161" s="27" t="n"/>
      <c r="EQ161" s="27" t="n"/>
      <c r="ER161" s="27" t="n"/>
      <c r="ES161" s="27" t="n"/>
      <c r="ET161" s="27" t="n"/>
      <c r="EU161" s="27" t="n"/>
      <c r="EV161" s="27" t="n"/>
      <c r="EW161" s="27" t="n"/>
      <c r="EX161" s="27" t="n"/>
      <c r="EY161" s="27" t="n"/>
      <c r="EZ161" s="27" t="n"/>
      <c r="FA161" s="27" t="n"/>
      <c r="FB161" s="27" t="n"/>
      <c r="FC161" s="27" t="n"/>
      <c r="FD161" s="27" t="n"/>
      <c r="FE161" s="27" t="n"/>
      <c r="FF161" s="27" t="n"/>
      <c r="FG161" s="27" t="n"/>
      <c r="FH161" s="27" t="n"/>
      <c r="FI161" s="27" t="n"/>
      <c r="FJ161" s="27" t="n"/>
      <c r="FK161" s="27" t="n"/>
      <c r="FL161" s="27" t="n"/>
      <c r="FM161" s="27" t="n"/>
      <c r="FN161" s="27" t="n"/>
      <c r="FO161" s="27" t="n"/>
      <c r="FP161" s="27" t="n"/>
      <c r="FQ161" s="27" t="n"/>
      <c r="FR161" s="27" t="n"/>
      <c r="FS161" s="27" t="n"/>
      <c r="FT161" s="27" t="n"/>
      <c r="FU161" s="27" t="n"/>
      <c r="FV161" s="27" t="n"/>
      <c r="FW161" s="27" t="n"/>
      <c r="FX161" s="27" t="n"/>
      <c r="FY161" s="27" t="n"/>
      <c r="FZ161" s="27" t="n"/>
      <c r="GA161" s="27" t="n"/>
      <c r="GB161" s="27" t="n"/>
      <c r="GC161" s="27" t="n"/>
      <c r="GD161" s="27" t="n"/>
      <c r="GE161" s="27" t="n"/>
      <c r="GF161" s="27" t="n"/>
      <c r="GG161" s="27" t="n"/>
      <c r="GH161" s="27" t="n"/>
      <c r="GI161" s="27" t="n"/>
      <c r="GJ161" s="27" t="n"/>
      <c r="GK161" s="27" t="n"/>
      <c r="GL161" s="27" t="n"/>
      <c r="GM161" s="27" t="n"/>
      <c r="GN161" s="27" t="n"/>
      <c r="GO161" s="27" t="n"/>
      <c r="GP161" s="27" t="n"/>
      <c r="GQ161" s="27" t="n"/>
      <c r="GR161" s="27" t="n"/>
      <c r="GS161" s="27" t="n"/>
      <c r="GT161" s="27" t="n"/>
      <c r="GU161" s="27" t="n"/>
      <c r="GV161" s="27" t="n"/>
      <c r="GW161" s="27" t="n"/>
      <c r="GX161" s="27" t="n"/>
      <c r="GY161" s="27" t="n"/>
      <c r="GZ161" s="27" t="n"/>
      <c r="HA161" s="27" t="n"/>
      <c r="HB161" s="27" t="n"/>
      <c r="HC161" s="27" t="n"/>
      <c r="HD161" s="27" t="n"/>
      <c r="HE161" s="27" t="n"/>
      <c r="HF161" s="27" t="n"/>
      <c r="HG161" s="27" t="n"/>
      <c r="HH161" s="27" t="n"/>
      <c r="HI161" s="27" t="n"/>
      <c r="HJ161" s="27" t="n"/>
      <c r="HK161" s="27" t="n"/>
      <c r="HL161" s="27" t="n"/>
      <c r="HM161" s="27" t="n"/>
      <c r="HN161" s="27" t="n"/>
      <c r="HO161" s="27" t="n"/>
      <c r="HP161" s="27" t="n"/>
      <c r="HQ161" s="27" t="n"/>
      <c r="HR161" s="27" t="n"/>
      <c r="HS161" s="27" t="n"/>
      <c r="HT161" s="27" t="n"/>
      <c r="HU161" s="27" t="n"/>
      <c r="HV161" s="27" t="n"/>
      <c r="HW161" s="27" t="n"/>
      <c r="HX161" s="27" t="n"/>
      <c r="HY161" s="27" t="n"/>
      <c r="HZ161" s="27" t="n"/>
      <c r="IA161" s="27" t="n"/>
      <c r="IB161" s="27" t="n"/>
      <c r="IC161" s="27" t="n"/>
      <c r="ID161" s="27" t="n"/>
      <c r="IE161" s="27" t="n"/>
      <c r="IF161" s="27" t="n"/>
      <c r="IG161" s="27" t="n"/>
      <c r="IH161" s="27" t="n"/>
      <c r="II161" s="27" t="n"/>
      <c r="IJ161" s="27" t="n"/>
      <c r="IK161" s="27" t="n"/>
      <c r="IL161" s="27" t="n"/>
      <c r="IM161" s="27" t="n"/>
      <c r="IN161" s="27" t="n"/>
      <c r="IO161" s="27" t="n"/>
      <c r="IP161" s="27" t="n"/>
      <c r="IQ161" s="27" t="n"/>
      <c r="IR161" s="27" t="n"/>
      <c r="IS161" s="27" t="n"/>
      <c r="IT161" s="27" t="n"/>
      <c r="IU161" s="27" t="n"/>
      <c r="IV161" s="27" t="n"/>
    </row>
    <row r="162" ht="13" customHeight="1" s="195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  <c r="AA162" s="27" t="n"/>
      <c r="AB162" s="27" t="n"/>
      <c r="AC162" s="27" t="n"/>
      <c r="AD162" s="27" t="n"/>
      <c r="AE162" s="27" t="n"/>
      <c r="AF162" s="27" t="n"/>
      <c r="AG162" s="27" t="n"/>
      <c r="AH162" s="27" t="n"/>
      <c r="AI162" s="27" t="n"/>
      <c r="AJ162" s="27" t="n"/>
      <c r="AK162" s="27" t="n"/>
      <c r="AL162" s="27" t="n"/>
      <c r="AM162" s="27" t="n"/>
      <c r="AN162" s="27" t="n"/>
      <c r="AO162" s="27" t="n"/>
      <c r="AP162" s="27" t="n"/>
      <c r="AQ162" s="27" t="n"/>
      <c r="AR162" s="27" t="n"/>
      <c r="AS162" s="27" t="n"/>
      <c r="AT162" s="27" t="n"/>
      <c r="AU162" s="27" t="n"/>
      <c r="AV162" s="27" t="n"/>
      <c r="AW162" s="27" t="n"/>
      <c r="AX162" s="27" t="n"/>
      <c r="AY162" s="27" t="n"/>
      <c r="AZ162" s="27" t="n"/>
      <c r="BA162" s="27" t="n"/>
      <c r="BB162" s="27" t="n"/>
      <c r="BC162" s="27" t="n"/>
      <c r="BD162" s="27" t="n"/>
      <c r="BE162" s="27" t="n"/>
      <c r="BF162" s="27" t="n"/>
      <c r="BG162" s="27" t="n"/>
      <c r="BH162" s="27" t="n"/>
      <c r="BI162" s="27" t="n"/>
      <c r="BJ162" s="27" t="n"/>
      <c r="BK162" s="27" t="n"/>
      <c r="BL162" s="27" t="n"/>
      <c r="BM162" s="27" t="n"/>
      <c r="BN162" s="27" t="n"/>
      <c r="BO162" s="27" t="n"/>
      <c r="BP162" s="27" t="n"/>
      <c r="BQ162" s="27" t="n"/>
      <c r="BR162" s="27" t="n"/>
      <c r="BS162" s="27" t="n"/>
      <c r="BT162" s="27" t="n"/>
      <c r="BU162" s="27" t="n"/>
      <c r="BV162" s="27" t="n"/>
      <c r="BW162" s="27" t="n"/>
      <c r="BX162" s="27" t="n"/>
      <c r="BY162" s="27" t="n"/>
      <c r="BZ162" s="27" t="n"/>
      <c r="CA162" s="27" t="n"/>
      <c r="CB162" s="27" t="n"/>
      <c r="CC162" s="27" t="n"/>
      <c r="CD162" s="27" t="n"/>
      <c r="CE162" s="27" t="n"/>
      <c r="CF162" s="27" t="n"/>
      <c r="CG162" s="27" t="n"/>
      <c r="CH162" s="27" t="n"/>
      <c r="CI162" s="27" t="n"/>
      <c r="CJ162" s="27" t="n"/>
      <c r="CK162" s="27" t="n"/>
      <c r="CL162" s="27" t="n"/>
      <c r="CM162" s="27" t="n"/>
      <c r="CN162" s="27" t="n"/>
      <c r="CO162" s="27" t="n"/>
      <c r="CP162" s="27" t="n"/>
      <c r="CQ162" s="27" t="n"/>
      <c r="CR162" s="27" t="n"/>
      <c r="CS162" s="27" t="n"/>
      <c r="CT162" s="27" t="n"/>
      <c r="CU162" s="27" t="n"/>
      <c r="CV162" s="27" t="n"/>
      <c r="CW162" s="27" t="n"/>
      <c r="CX162" s="27" t="n"/>
      <c r="CY162" s="27" t="n"/>
      <c r="CZ162" s="27" t="n"/>
      <c r="DA162" s="27" t="n"/>
      <c r="DB162" s="27" t="n"/>
      <c r="DC162" s="27" t="n"/>
      <c r="DD162" s="27" t="n"/>
      <c r="DE162" s="27" t="n"/>
      <c r="DF162" s="27" t="n"/>
      <c r="DG162" s="27" t="n"/>
      <c r="DH162" s="27" t="n"/>
      <c r="DI162" s="27" t="n"/>
      <c r="DJ162" s="27" t="n"/>
      <c r="DK162" s="27" t="n"/>
      <c r="DL162" s="27" t="n"/>
      <c r="DM162" s="27" t="n"/>
      <c r="DN162" s="27" t="n"/>
      <c r="DO162" s="27" t="n"/>
      <c r="DP162" s="27" t="n"/>
      <c r="DQ162" s="27" t="n"/>
      <c r="DR162" s="27" t="n"/>
      <c r="DS162" s="27" t="n"/>
      <c r="DT162" s="27" t="n"/>
      <c r="DU162" s="27" t="n"/>
      <c r="DV162" s="27" t="n"/>
      <c r="DW162" s="27" t="n"/>
      <c r="DX162" s="27" t="n"/>
      <c r="DY162" s="27" t="n"/>
      <c r="DZ162" s="27" t="n"/>
      <c r="EA162" s="27" t="n"/>
      <c r="EB162" s="27" t="n"/>
      <c r="EC162" s="27" t="n"/>
      <c r="ED162" s="27" t="n"/>
      <c r="EE162" s="27" t="n"/>
      <c r="EF162" s="27" t="n"/>
      <c r="EG162" s="27" t="n"/>
      <c r="EH162" s="27" t="n"/>
      <c r="EI162" s="27" t="n"/>
      <c r="EJ162" s="27" t="n"/>
      <c r="EK162" s="27" t="n"/>
      <c r="EL162" s="27" t="n"/>
      <c r="EM162" s="27" t="n"/>
      <c r="EN162" s="27" t="n"/>
      <c r="EO162" s="27" t="n"/>
      <c r="EP162" s="27" t="n"/>
      <c r="EQ162" s="27" t="n"/>
      <c r="ER162" s="27" t="n"/>
      <c r="ES162" s="27" t="n"/>
      <c r="ET162" s="27" t="n"/>
      <c r="EU162" s="27" t="n"/>
      <c r="EV162" s="27" t="n"/>
      <c r="EW162" s="27" t="n"/>
      <c r="EX162" s="27" t="n"/>
      <c r="EY162" s="27" t="n"/>
      <c r="EZ162" s="27" t="n"/>
      <c r="FA162" s="27" t="n"/>
      <c r="FB162" s="27" t="n"/>
      <c r="FC162" s="27" t="n"/>
      <c r="FD162" s="27" t="n"/>
      <c r="FE162" s="27" t="n"/>
      <c r="FF162" s="27" t="n"/>
      <c r="FG162" s="27" t="n"/>
      <c r="FH162" s="27" t="n"/>
      <c r="FI162" s="27" t="n"/>
      <c r="FJ162" s="27" t="n"/>
      <c r="FK162" s="27" t="n"/>
      <c r="FL162" s="27" t="n"/>
      <c r="FM162" s="27" t="n"/>
      <c r="FN162" s="27" t="n"/>
      <c r="FO162" s="27" t="n"/>
      <c r="FP162" s="27" t="n"/>
      <c r="FQ162" s="27" t="n"/>
      <c r="FR162" s="27" t="n"/>
      <c r="FS162" s="27" t="n"/>
      <c r="FT162" s="27" t="n"/>
      <c r="FU162" s="27" t="n"/>
      <c r="FV162" s="27" t="n"/>
      <c r="FW162" s="27" t="n"/>
      <c r="FX162" s="27" t="n"/>
      <c r="FY162" s="27" t="n"/>
      <c r="FZ162" s="27" t="n"/>
      <c r="GA162" s="27" t="n"/>
      <c r="GB162" s="27" t="n"/>
      <c r="GC162" s="27" t="n"/>
      <c r="GD162" s="27" t="n"/>
      <c r="GE162" s="27" t="n"/>
      <c r="GF162" s="27" t="n"/>
      <c r="GG162" s="27" t="n"/>
      <c r="GH162" s="27" t="n"/>
      <c r="GI162" s="27" t="n"/>
      <c r="GJ162" s="27" t="n"/>
      <c r="GK162" s="27" t="n"/>
      <c r="GL162" s="27" t="n"/>
      <c r="GM162" s="27" t="n"/>
      <c r="GN162" s="27" t="n"/>
      <c r="GO162" s="27" t="n"/>
      <c r="GP162" s="27" t="n"/>
      <c r="GQ162" s="27" t="n"/>
      <c r="GR162" s="27" t="n"/>
      <c r="GS162" s="27" t="n"/>
      <c r="GT162" s="27" t="n"/>
      <c r="GU162" s="27" t="n"/>
      <c r="GV162" s="27" t="n"/>
      <c r="GW162" s="27" t="n"/>
      <c r="GX162" s="27" t="n"/>
      <c r="GY162" s="27" t="n"/>
      <c r="GZ162" s="27" t="n"/>
      <c r="HA162" s="27" t="n"/>
      <c r="HB162" s="27" t="n"/>
      <c r="HC162" s="27" t="n"/>
      <c r="HD162" s="27" t="n"/>
      <c r="HE162" s="27" t="n"/>
      <c r="HF162" s="27" t="n"/>
      <c r="HG162" s="27" t="n"/>
      <c r="HH162" s="27" t="n"/>
      <c r="HI162" s="27" t="n"/>
      <c r="HJ162" s="27" t="n"/>
      <c r="HK162" s="27" t="n"/>
      <c r="HL162" s="27" t="n"/>
      <c r="HM162" s="27" t="n"/>
      <c r="HN162" s="27" t="n"/>
      <c r="HO162" s="27" t="n"/>
      <c r="HP162" s="27" t="n"/>
      <c r="HQ162" s="27" t="n"/>
      <c r="HR162" s="27" t="n"/>
      <c r="HS162" s="27" t="n"/>
      <c r="HT162" s="27" t="n"/>
      <c r="HU162" s="27" t="n"/>
      <c r="HV162" s="27" t="n"/>
      <c r="HW162" s="27" t="n"/>
      <c r="HX162" s="27" t="n"/>
      <c r="HY162" s="27" t="n"/>
      <c r="HZ162" s="27" t="n"/>
      <c r="IA162" s="27" t="n"/>
      <c r="IB162" s="27" t="n"/>
      <c r="IC162" s="27" t="n"/>
      <c r="ID162" s="27" t="n"/>
      <c r="IE162" s="27" t="n"/>
      <c r="IF162" s="27" t="n"/>
      <c r="IG162" s="27" t="n"/>
      <c r="IH162" s="27" t="n"/>
      <c r="II162" s="27" t="n"/>
      <c r="IJ162" s="27" t="n"/>
      <c r="IK162" s="27" t="n"/>
      <c r="IL162" s="27" t="n"/>
      <c r="IM162" s="27" t="n"/>
      <c r="IN162" s="27" t="n"/>
      <c r="IO162" s="27" t="n"/>
      <c r="IP162" s="27" t="n"/>
      <c r="IQ162" s="27" t="n"/>
      <c r="IR162" s="27" t="n"/>
      <c r="IS162" s="27" t="n"/>
      <c r="IT162" s="27" t="n"/>
      <c r="IU162" s="27" t="n"/>
      <c r="IV162" s="27" t="n"/>
    </row>
    <row r="163" ht="13" customHeight="1" s="195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  <c r="AA163" s="27" t="n"/>
      <c r="AB163" s="27" t="n"/>
      <c r="AC163" s="27" t="n"/>
      <c r="AD163" s="27" t="n"/>
      <c r="AE163" s="27" t="n"/>
      <c r="AF163" s="27" t="n"/>
      <c r="AG163" s="27" t="n"/>
      <c r="AH163" s="27" t="n"/>
      <c r="AI163" s="27" t="n"/>
      <c r="AJ163" s="27" t="n"/>
      <c r="AK163" s="27" t="n"/>
      <c r="AL163" s="27" t="n"/>
      <c r="AM163" s="27" t="n"/>
      <c r="AN163" s="27" t="n"/>
      <c r="AO163" s="27" t="n"/>
      <c r="AP163" s="27" t="n"/>
      <c r="AQ163" s="27" t="n"/>
      <c r="AR163" s="27" t="n"/>
      <c r="AS163" s="27" t="n"/>
      <c r="AT163" s="27" t="n"/>
      <c r="AU163" s="27" t="n"/>
      <c r="AV163" s="27" t="n"/>
      <c r="AW163" s="27" t="n"/>
      <c r="AX163" s="27" t="n"/>
      <c r="AY163" s="27" t="n"/>
      <c r="AZ163" s="27" t="n"/>
      <c r="BA163" s="27" t="n"/>
      <c r="BB163" s="27" t="n"/>
      <c r="BC163" s="27" t="n"/>
      <c r="BD163" s="27" t="n"/>
      <c r="BE163" s="27" t="n"/>
      <c r="BF163" s="27" t="n"/>
      <c r="BG163" s="27" t="n"/>
      <c r="BH163" s="27" t="n"/>
      <c r="BI163" s="27" t="n"/>
      <c r="BJ163" s="27" t="n"/>
      <c r="BK163" s="27" t="n"/>
      <c r="BL163" s="27" t="n"/>
      <c r="BM163" s="27" t="n"/>
      <c r="BN163" s="27" t="n"/>
      <c r="BO163" s="27" t="n"/>
      <c r="BP163" s="27" t="n"/>
      <c r="BQ163" s="27" t="n"/>
      <c r="BR163" s="27" t="n"/>
      <c r="BS163" s="27" t="n"/>
      <c r="BT163" s="27" t="n"/>
      <c r="BU163" s="27" t="n"/>
      <c r="BV163" s="27" t="n"/>
      <c r="BW163" s="27" t="n"/>
      <c r="BX163" s="27" t="n"/>
      <c r="BY163" s="27" t="n"/>
      <c r="BZ163" s="27" t="n"/>
      <c r="CA163" s="27" t="n"/>
      <c r="CB163" s="27" t="n"/>
      <c r="CC163" s="27" t="n"/>
      <c r="CD163" s="27" t="n"/>
      <c r="CE163" s="27" t="n"/>
      <c r="CF163" s="27" t="n"/>
      <c r="CG163" s="27" t="n"/>
      <c r="CH163" s="27" t="n"/>
      <c r="CI163" s="27" t="n"/>
      <c r="CJ163" s="27" t="n"/>
      <c r="CK163" s="27" t="n"/>
      <c r="CL163" s="27" t="n"/>
      <c r="CM163" s="27" t="n"/>
      <c r="CN163" s="27" t="n"/>
      <c r="CO163" s="27" t="n"/>
      <c r="CP163" s="27" t="n"/>
      <c r="CQ163" s="27" t="n"/>
      <c r="CR163" s="27" t="n"/>
      <c r="CS163" s="27" t="n"/>
      <c r="CT163" s="27" t="n"/>
      <c r="CU163" s="27" t="n"/>
      <c r="CV163" s="27" t="n"/>
      <c r="CW163" s="27" t="n"/>
      <c r="CX163" s="27" t="n"/>
      <c r="CY163" s="27" t="n"/>
      <c r="CZ163" s="27" t="n"/>
      <c r="DA163" s="27" t="n"/>
      <c r="DB163" s="27" t="n"/>
      <c r="DC163" s="27" t="n"/>
      <c r="DD163" s="27" t="n"/>
      <c r="DE163" s="27" t="n"/>
      <c r="DF163" s="27" t="n"/>
      <c r="DG163" s="27" t="n"/>
      <c r="DH163" s="27" t="n"/>
      <c r="DI163" s="27" t="n"/>
      <c r="DJ163" s="27" t="n"/>
      <c r="DK163" s="27" t="n"/>
      <c r="DL163" s="27" t="n"/>
      <c r="DM163" s="27" t="n"/>
      <c r="DN163" s="27" t="n"/>
      <c r="DO163" s="27" t="n"/>
      <c r="DP163" s="27" t="n"/>
      <c r="DQ163" s="27" t="n"/>
      <c r="DR163" s="27" t="n"/>
      <c r="DS163" s="27" t="n"/>
      <c r="DT163" s="27" t="n"/>
      <c r="DU163" s="27" t="n"/>
      <c r="DV163" s="27" t="n"/>
      <c r="DW163" s="27" t="n"/>
      <c r="DX163" s="27" t="n"/>
      <c r="DY163" s="27" t="n"/>
      <c r="DZ163" s="27" t="n"/>
      <c r="EA163" s="27" t="n"/>
      <c r="EB163" s="27" t="n"/>
      <c r="EC163" s="27" t="n"/>
      <c r="ED163" s="27" t="n"/>
      <c r="EE163" s="27" t="n"/>
      <c r="EF163" s="27" t="n"/>
      <c r="EG163" s="27" t="n"/>
      <c r="EH163" s="27" t="n"/>
      <c r="EI163" s="27" t="n"/>
      <c r="EJ163" s="27" t="n"/>
      <c r="EK163" s="27" t="n"/>
      <c r="EL163" s="27" t="n"/>
      <c r="EM163" s="27" t="n"/>
      <c r="EN163" s="27" t="n"/>
      <c r="EO163" s="27" t="n"/>
      <c r="EP163" s="27" t="n"/>
      <c r="EQ163" s="27" t="n"/>
      <c r="ER163" s="27" t="n"/>
      <c r="ES163" s="27" t="n"/>
      <c r="ET163" s="27" t="n"/>
      <c r="EU163" s="27" t="n"/>
      <c r="EV163" s="27" t="n"/>
      <c r="EW163" s="27" t="n"/>
      <c r="EX163" s="27" t="n"/>
      <c r="EY163" s="27" t="n"/>
      <c r="EZ163" s="27" t="n"/>
      <c r="FA163" s="27" t="n"/>
      <c r="FB163" s="27" t="n"/>
      <c r="FC163" s="27" t="n"/>
      <c r="FD163" s="27" t="n"/>
      <c r="FE163" s="27" t="n"/>
      <c r="FF163" s="27" t="n"/>
      <c r="FG163" s="27" t="n"/>
      <c r="FH163" s="27" t="n"/>
      <c r="FI163" s="27" t="n"/>
      <c r="FJ163" s="27" t="n"/>
      <c r="FK163" s="27" t="n"/>
      <c r="FL163" s="27" t="n"/>
      <c r="FM163" s="27" t="n"/>
      <c r="FN163" s="27" t="n"/>
      <c r="FO163" s="27" t="n"/>
      <c r="FP163" s="27" t="n"/>
      <c r="FQ163" s="27" t="n"/>
      <c r="FR163" s="27" t="n"/>
      <c r="FS163" s="27" t="n"/>
      <c r="FT163" s="27" t="n"/>
      <c r="FU163" s="27" t="n"/>
      <c r="FV163" s="27" t="n"/>
      <c r="FW163" s="27" t="n"/>
      <c r="FX163" s="27" t="n"/>
      <c r="FY163" s="27" t="n"/>
      <c r="FZ163" s="27" t="n"/>
      <c r="GA163" s="27" t="n"/>
      <c r="GB163" s="27" t="n"/>
      <c r="GC163" s="27" t="n"/>
      <c r="GD163" s="27" t="n"/>
      <c r="GE163" s="27" t="n"/>
      <c r="GF163" s="27" t="n"/>
      <c r="GG163" s="27" t="n"/>
      <c r="GH163" s="27" t="n"/>
      <c r="GI163" s="27" t="n"/>
      <c r="GJ163" s="27" t="n"/>
      <c r="GK163" s="27" t="n"/>
      <c r="GL163" s="27" t="n"/>
      <c r="GM163" s="27" t="n"/>
      <c r="GN163" s="27" t="n"/>
      <c r="GO163" s="27" t="n"/>
      <c r="GP163" s="27" t="n"/>
      <c r="GQ163" s="27" t="n"/>
      <c r="GR163" s="27" t="n"/>
      <c r="GS163" s="27" t="n"/>
      <c r="GT163" s="27" t="n"/>
      <c r="GU163" s="27" t="n"/>
      <c r="GV163" s="27" t="n"/>
      <c r="GW163" s="27" t="n"/>
      <c r="GX163" s="27" t="n"/>
      <c r="GY163" s="27" t="n"/>
      <c r="GZ163" s="27" t="n"/>
      <c r="HA163" s="27" t="n"/>
      <c r="HB163" s="27" t="n"/>
      <c r="HC163" s="27" t="n"/>
      <c r="HD163" s="27" t="n"/>
      <c r="HE163" s="27" t="n"/>
      <c r="HF163" s="27" t="n"/>
      <c r="HG163" s="27" t="n"/>
      <c r="HH163" s="27" t="n"/>
      <c r="HI163" s="27" t="n"/>
      <c r="HJ163" s="27" t="n"/>
      <c r="HK163" s="27" t="n"/>
      <c r="HL163" s="27" t="n"/>
      <c r="HM163" s="27" t="n"/>
      <c r="HN163" s="27" t="n"/>
      <c r="HO163" s="27" t="n"/>
      <c r="HP163" s="27" t="n"/>
      <c r="HQ163" s="27" t="n"/>
      <c r="HR163" s="27" t="n"/>
      <c r="HS163" s="27" t="n"/>
      <c r="HT163" s="27" t="n"/>
      <c r="HU163" s="27" t="n"/>
      <c r="HV163" s="27" t="n"/>
      <c r="HW163" s="27" t="n"/>
      <c r="HX163" s="27" t="n"/>
      <c r="HY163" s="27" t="n"/>
      <c r="HZ163" s="27" t="n"/>
      <c r="IA163" s="27" t="n"/>
      <c r="IB163" s="27" t="n"/>
      <c r="IC163" s="27" t="n"/>
      <c r="ID163" s="27" t="n"/>
      <c r="IE163" s="27" t="n"/>
      <c r="IF163" s="27" t="n"/>
      <c r="IG163" s="27" t="n"/>
      <c r="IH163" s="27" t="n"/>
      <c r="II163" s="27" t="n"/>
      <c r="IJ163" s="27" t="n"/>
      <c r="IK163" s="27" t="n"/>
      <c r="IL163" s="27" t="n"/>
      <c r="IM163" s="27" t="n"/>
      <c r="IN163" s="27" t="n"/>
      <c r="IO163" s="27" t="n"/>
      <c r="IP163" s="27" t="n"/>
      <c r="IQ163" s="27" t="n"/>
      <c r="IR163" s="27" t="n"/>
      <c r="IS163" s="27" t="n"/>
      <c r="IT163" s="27" t="n"/>
      <c r="IU163" s="27" t="n"/>
      <c r="IV163" s="27" t="n"/>
    </row>
    <row r="164" ht="13" customHeight="1" s="195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  <c r="AA164" s="27" t="n"/>
      <c r="AB164" s="27" t="n"/>
      <c r="AC164" s="27" t="n"/>
      <c r="AD164" s="27" t="n"/>
      <c r="AE164" s="27" t="n"/>
      <c r="AF164" s="27" t="n"/>
      <c r="AG164" s="27" t="n"/>
      <c r="AH164" s="27" t="n"/>
      <c r="AI164" s="27" t="n"/>
      <c r="AJ164" s="27" t="n"/>
      <c r="AK164" s="27" t="n"/>
      <c r="AL164" s="27" t="n"/>
      <c r="AM164" s="27" t="n"/>
      <c r="AN164" s="27" t="n"/>
      <c r="AO164" s="27" t="n"/>
      <c r="AP164" s="27" t="n"/>
      <c r="AQ164" s="27" t="n"/>
      <c r="AR164" s="27" t="n"/>
      <c r="AS164" s="27" t="n"/>
      <c r="AT164" s="27" t="n"/>
      <c r="AU164" s="27" t="n"/>
      <c r="AV164" s="27" t="n"/>
      <c r="AW164" s="27" t="n"/>
      <c r="AX164" s="27" t="n"/>
      <c r="AY164" s="27" t="n"/>
      <c r="AZ164" s="27" t="n"/>
      <c r="BA164" s="27" t="n"/>
      <c r="BB164" s="27" t="n"/>
      <c r="BC164" s="27" t="n"/>
      <c r="BD164" s="27" t="n"/>
      <c r="BE164" s="27" t="n"/>
      <c r="BF164" s="27" t="n"/>
      <c r="BG164" s="27" t="n"/>
      <c r="BH164" s="27" t="n"/>
      <c r="BI164" s="27" t="n"/>
      <c r="BJ164" s="27" t="n"/>
      <c r="BK164" s="27" t="n"/>
      <c r="BL164" s="27" t="n"/>
      <c r="BM164" s="27" t="n"/>
      <c r="BN164" s="27" t="n"/>
      <c r="BO164" s="27" t="n"/>
      <c r="BP164" s="27" t="n"/>
      <c r="BQ164" s="27" t="n"/>
      <c r="BR164" s="27" t="n"/>
      <c r="BS164" s="27" t="n"/>
      <c r="BT164" s="27" t="n"/>
      <c r="BU164" s="27" t="n"/>
      <c r="BV164" s="27" t="n"/>
      <c r="BW164" s="27" t="n"/>
      <c r="BX164" s="27" t="n"/>
      <c r="BY164" s="27" t="n"/>
      <c r="BZ164" s="27" t="n"/>
      <c r="CA164" s="27" t="n"/>
      <c r="CB164" s="27" t="n"/>
      <c r="CC164" s="27" t="n"/>
      <c r="CD164" s="27" t="n"/>
      <c r="CE164" s="27" t="n"/>
      <c r="CF164" s="27" t="n"/>
      <c r="CG164" s="27" t="n"/>
      <c r="CH164" s="27" t="n"/>
      <c r="CI164" s="27" t="n"/>
      <c r="CJ164" s="27" t="n"/>
      <c r="CK164" s="27" t="n"/>
      <c r="CL164" s="27" t="n"/>
      <c r="CM164" s="27" t="n"/>
      <c r="CN164" s="27" t="n"/>
      <c r="CO164" s="27" t="n"/>
      <c r="CP164" s="27" t="n"/>
      <c r="CQ164" s="27" t="n"/>
      <c r="CR164" s="27" t="n"/>
      <c r="CS164" s="27" t="n"/>
      <c r="CT164" s="27" t="n"/>
      <c r="CU164" s="27" t="n"/>
      <c r="CV164" s="27" t="n"/>
      <c r="CW164" s="27" t="n"/>
      <c r="CX164" s="27" t="n"/>
      <c r="CY164" s="27" t="n"/>
      <c r="CZ164" s="27" t="n"/>
      <c r="DA164" s="27" t="n"/>
      <c r="DB164" s="27" t="n"/>
      <c r="DC164" s="27" t="n"/>
      <c r="DD164" s="27" t="n"/>
      <c r="DE164" s="27" t="n"/>
      <c r="DF164" s="27" t="n"/>
      <c r="DG164" s="27" t="n"/>
      <c r="DH164" s="27" t="n"/>
      <c r="DI164" s="27" t="n"/>
      <c r="DJ164" s="27" t="n"/>
      <c r="DK164" s="27" t="n"/>
      <c r="DL164" s="27" t="n"/>
      <c r="DM164" s="27" t="n"/>
      <c r="DN164" s="27" t="n"/>
      <c r="DO164" s="27" t="n"/>
      <c r="DP164" s="27" t="n"/>
      <c r="DQ164" s="27" t="n"/>
      <c r="DR164" s="27" t="n"/>
      <c r="DS164" s="27" t="n"/>
      <c r="DT164" s="27" t="n"/>
      <c r="DU164" s="27" t="n"/>
      <c r="DV164" s="27" t="n"/>
      <c r="DW164" s="27" t="n"/>
      <c r="DX164" s="27" t="n"/>
      <c r="DY164" s="27" t="n"/>
      <c r="DZ164" s="27" t="n"/>
      <c r="EA164" s="27" t="n"/>
      <c r="EB164" s="27" t="n"/>
      <c r="EC164" s="27" t="n"/>
      <c r="ED164" s="27" t="n"/>
      <c r="EE164" s="27" t="n"/>
      <c r="EF164" s="27" t="n"/>
      <c r="EG164" s="27" t="n"/>
      <c r="EH164" s="27" t="n"/>
      <c r="EI164" s="27" t="n"/>
      <c r="EJ164" s="27" t="n"/>
      <c r="EK164" s="27" t="n"/>
      <c r="EL164" s="27" t="n"/>
      <c r="EM164" s="27" t="n"/>
      <c r="EN164" s="27" t="n"/>
      <c r="EO164" s="27" t="n"/>
      <c r="EP164" s="27" t="n"/>
      <c r="EQ164" s="27" t="n"/>
      <c r="ER164" s="27" t="n"/>
      <c r="ES164" s="27" t="n"/>
      <c r="ET164" s="27" t="n"/>
      <c r="EU164" s="27" t="n"/>
      <c r="EV164" s="27" t="n"/>
      <c r="EW164" s="27" t="n"/>
      <c r="EX164" s="27" t="n"/>
      <c r="EY164" s="27" t="n"/>
      <c r="EZ164" s="27" t="n"/>
      <c r="FA164" s="27" t="n"/>
      <c r="FB164" s="27" t="n"/>
      <c r="FC164" s="27" t="n"/>
      <c r="FD164" s="27" t="n"/>
      <c r="FE164" s="27" t="n"/>
      <c r="FF164" s="27" t="n"/>
      <c r="FG164" s="27" t="n"/>
      <c r="FH164" s="27" t="n"/>
      <c r="FI164" s="27" t="n"/>
      <c r="FJ164" s="27" t="n"/>
      <c r="FK164" s="27" t="n"/>
      <c r="FL164" s="27" t="n"/>
      <c r="FM164" s="27" t="n"/>
      <c r="FN164" s="27" t="n"/>
      <c r="FO164" s="27" t="n"/>
      <c r="FP164" s="27" t="n"/>
      <c r="FQ164" s="27" t="n"/>
      <c r="FR164" s="27" t="n"/>
      <c r="FS164" s="27" t="n"/>
      <c r="FT164" s="27" t="n"/>
      <c r="FU164" s="27" t="n"/>
      <c r="FV164" s="27" t="n"/>
      <c r="FW164" s="27" t="n"/>
      <c r="FX164" s="27" t="n"/>
      <c r="FY164" s="27" t="n"/>
      <c r="FZ164" s="27" t="n"/>
      <c r="GA164" s="27" t="n"/>
      <c r="GB164" s="27" t="n"/>
      <c r="GC164" s="27" t="n"/>
      <c r="GD164" s="27" t="n"/>
      <c r="GE164" s="27" t="n"/>
      <c r="GF164" s="27" t="n"/>
      <c r="GG164" s="27" t="n"/>
      <c r="GH164" s="27" t="n"/>
      <c r="GI164" s="27" t="n"/>
      <c r="GJ164" s="27" t="n"/>
      <c r="GK164" s="27" t="n"/>
      <c r="GL164" s="27" t="n"/>
      <c r="GM164" s="27" t="n"/>
      <c r="GN164" s="27" t="n"/>
      <c r="GO164" s="27" t="n"/>
      <c r="GP164" s="27" t="n"/>
      <c r="GQ164" s="27" t="n"/>
      <c r="GR164" s="27" t="n"/>
      <c r="GS164" s="27" t="n"/>
      <c r="GT164" s="27" t="n"/>
      <c r="GU164" s="27" t="n"/>
      <c r="GV164" s="27" t="n"/>
      <c r="GW164" s="27" t="n"/>
      <c r="GX164" s="27" t="n"/>
      <c r="GY164" s="27" t="n"/>
      <c r="GZ164" s="27" t="n"/>
      <c r="HA164" s="27" t="n"/>
      <c r="HB164" s="27" t="n"/>
      <c r="HC164" s="27" t="n"/>
      <c r="HD164" s="27" t="n"/>
      <c r="HE164" s="27" t="n"/>
      <c r="HF164" s="27" t="n"/>
      <c r="HG164" s="27" t="n"/>
      <c r="HH164" s="27" t="n"/>
      <c r="HI164" s="27" t="n"/>
      <c r="HJ164" s="27" t="n"/>
      <c r="HK164" s="27" t="n"/>
      <c r="HL164" s="27" t="n"/>
      <c r="HM164" s="27" t="n"/>
      <c r="HN164" s="27" t="n"/>
      <c r="HO164" s="27" t="n"/>
      <c r="HP164" s="27" t="n"/>
      <c r="HQ164" s="27" t="n"/>
      <c r="HR164" s="27" t="n"/>
      <c r="HS164" s="27" t="n"/>
      <c r="HT164" s="27" t="n"/>
      <c r="HU164" s="27" t="n"/>
      <c r="HV164" s="27" t="n"/>
      <c r="HW164" s="27" t="n"/>
      <c r="HX164" s="27" t="n"/>
      <c r="HY164" s="27" t="n"/>
      <c r="HZ164" s="27" t="n"/>
      <c r="IA164" s="27" t="n"/>
      <c r="IB164" s="27" t="n"/>
      <c r="IC164" s="27" t="n"/>
      <c r="ID164" s="27" t="n"/>
      <c r="IE164" s="27" t="n"/>
      <c r="IF164" s="27" t="n"/>
      <c r="IG164" s="27" t="n"/>
      <c r="IH164" s="27" t="n"/>
      <c r="II164" s="27" t="n"/>
      <c r="IJ164" s="27" t="n"/>
      <c r="IK164" s="27" t="n"/>
      <c r="IL164" s="27" t="n"/>
      <c r="IM164" s="27" t="n"/>
      <c r="IN164" s="27" t="n"/>
      <c r="IO164" s="27" t="n"/>
      <c r="IP164" s="27" t="n"/>
      <c r="IQ164" s="27" t="n"/>
      <c r="IR164" s="27" t="n"/>
      <c r="IS164" s="27" t="n"/>
      <c r="IT164" s="27" t="n"/>
      <c r="IU164" s="27" t="n"/>
      <c r="IV164" s="27" t="n"/>
    </row>
    <row r="165" ht="13" customHeight="1" s="195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  <c r="AA165" s="27" t="n"/>
      <c r="AB165" s="27" t="n"/>
      <c r="AC165" s="27" t="n"/>
      <c r="AD165" s="27" t="n"/>
      <c r="AE165" s="27" t="n"/>
      <c r="AF165" s="27" t="n"/>
      <c r="AG165" s="27" t="n"/>
      <c r="AH165" s="27" t="n"/>
      <c r="AI165" s="27" t="n"/>
      <c r="AJ165" s="27" t="n"/>
      <c r="AK165" s="27" t="n"/>
      <c r="AL165" s="27" t="n"/>
      <c r="AM165" s="27" t="n"/>
      <c r="AN165" s="27" t="n"/>
      <c r="AO165" s="27" t="n"/>
      <c r="AP165" s="27" t="n"/>
      <c r="AQ165" s="27" t="n"/>
      <c r="AR165" s="27" t="n"/>
      <c r="AS165" s="27" t="n"/>
      <c r="AT165" s="27" t="n"/>
      <c r="AU165" s="27" t="n"/>
      <c r="AV165" s="27" t="n"/>
      <c r="AW165" s="27" t="n"/>
      <c r="AX165" s="27" t="n"/>
      <c r="AY165" s="27" t="n"/>
      <c r="AZ165" s="27" t="n"/>
      <c r="BA165" s="27" t="n"/>
      <c r="BB165" s="27" t="n"/>
      <c r="BC165" s="27" t="n"/>
      <c r="BD165" s="27" t="n"/>
      <c r="BE165" s="27" t="n"/>
      <c r="BF165" s="27" t="n"/>
      <c r="BG165" s="27" t="n"/>
      <c r="BH165" s="27" t="n"/>
      <c r="BI165" s="27" t="n"/>
      <c r="BJ165" s="27" t="n"/>
      <c r="BK165" s="27" t="n"/>
      <c r="BL165" s="27" t="n"/>
      <c r="BM165" s="27" t="n"/>
      <c r="BN165" s="27" t="n"/>
      <c r="BO165" s="27" t="n"/>
      <c r="BP165" s="27" t="n"/>
      <c r="BQ165" s="27" t="n"/>
      <c r="BR165" s="27" t="n"/>
      <c r="BS165" s="27" t="n"/>
      <c r="BT165" s="27" t="n"/>
      <c r="BU165" s="27" t="n"/>
      <c r="BV165" s="27" t="n"/>
      <c r="BW165" s="27" t="n"/>
      <c r="BX165" s="27" t="n"/>
      <c r="BY165" s="27" t="n"/>
      <c r="BZ165" s="27" t="n"/>
      <c r="CA165" s="27" t="n"/>
      <c r="CB165" s="27" t="n"/>
      <c r="CC165" s="27" t="n"/>
      <c r="CD165" s="27" t="n"/>
      <c r="CE165" s="27" t="n"/>
      <c r="CF165" s="27" t="n"/>
      <c r="CG165" s="27" t="n"/>
      <c r="CH165" s="27" t="n"/>
      <c r="CI165" s="27" t="n"/>
      <c r="CJ165" s="27" t="n"/>
      <c r="CK165" s="27" t="n"/>
      <c r="CL165" s="27" t="n"/>
      <c r="CM165" s="27" t="n"/>
      <c r="CN165" s="27" t="n"/>
      <c r="CO165" s="27" t="n"/>
      <c r="CP165" s="27" t="n"/>
      <c r="CQ165" s="27" t="n"/>
      <c r="CR165" s="27" t="n"/>
      <c r="CS165" s="27" t="n"/>
      <c r="CT165" s="27" t="n"/>
      <c r="CU165" s="27" t="n"/>
      <c r="CV165" s="27" t="n"/>
      <c r="CW165" s="27" t="n"/>
      <c r="CX165" s="27" t="n"/>
      <c r="CY165" s="27" t="n"/>
      <c r="CZ165" s="27" t="n"/>
      <c r="DA165" s="27" t="n"/>
      <c r="DB165" s="27" t="n"/>
      <c r="DC165" s="27" t="n"/>
      <c r="DD165" s="27" t="n"/>
      <c r="DE165" s="27" t="n"/>
      <c r="DF165" s="27" t="n"/>
      <c r="DG165" s="27" t="n"/>
      <c r="DH165" s="27" t="n"/>
      <c r="DI165" s="27" t="n"/>
      <c r="DJ165" s="27" t="n"/>
      <c r="DK165" s="27" t="n"/>
      <c r="DL165" s="27" t="n"/>
      <c r="DM165" s="27" t="n"/>
      <c r="DN165" s="27" t="n"/>
      <c r="DO165" s="27" t="n"/>
      <c r="DP165" s="27" t="n"/>
      <c r="DQ165" s="27" t="n"/>
      <c r="DR165" s="27" t="n"/>
      <c r="DS165" s="27" t="n"/>
      <c r="DT165" s="27" t="n"/>
      <c r="DU165" s="27" t="n"/>
      <c r="DV165" s="27" t="n"/>
      <c r="DW165" s="27" t="n"/>
      <c r="DX165" s="27" t="n"/>
      <c r="DY165" s="27" t="n"/>
      <c r="DZ165" s="27" t="n"/>
      <c r="EA165" s="27" t="n"/>
      <c r="EB165" s="27" t="n"/>
      <c r="EC165" s="27" t="n"/>
      <c r="ED165" s="27" t="n"/>
      <c r="EE165" s="27" t="n"/>
      <c r="EF165" s="27" t="n"/>
      <c r="EG165" s="27" t="n"/>
      <c r="EH165" s="27" t="n"/>
      <c r="EI165" s="27" t="n"/>
      <c r="EJ165" s="27" t="n"/>
      <c r="EK165" s="27" t="n"/>
      <c r="EL165" s="27" t="n"/>
      <c r="EM165" s="27" t="n"/>
      <c r="EN165" s="27" t="n"/>
      <c r="EO165" s="27" t="n"/>
      <c r="EP165" s="27" t="n"/>
      <c r="EQ165" s="27" t="n"/>
      <c r="ER165" s="27" t="n"/>
      <c r="ES165" s="27" t="n"/>
      <c r="ET165" s="27" t="n"/>
      <c r="EU165" s="27" t="n"/>
      <c r="EV165" s="27" t="n"/>
      <c r="EW165" s="27" t="n"/>
      <c r="EX165" s="27" t="n"/>
      <c r="EY165" s="27" t="n"/>
      <c r="EZ165" s="27" t="n"/>
      <c r="FA165" s="27" t="n"/>
      <c r="FB165" s="27" t="n"/>
      <c r="FC165" s="27" t="n"/>
      <c r="FD165" s="27" t="n"/>
      <c r="FE165" s="27" t="n"/>
      <c r="FF165" s="27" t="n"/>
      <c r="FG165" s="27" t="n"/>
      <c r="FH165" s="27" t="n"/>
      <c r="FI165" s="27" t="n"/>
      <c r="FJ165" s="27" t="n"/>
      <c r="FK165" s="27" t="n"/>
      <c r="FL165" s="27" t="n"/>
      <c r="FM165" s="27" t="n"/>
      <c r="FN165" s="27" t="n"/>
      <c r="FO165" s="27" t="n"/>
      <c r="FP165" s="27" t="n"/>
      <c r="FQ165" s="27" t="n"/>
      <c r="FR165" s="27" t="n"/>
      <c r="FS165" s="27" t="n"/>
      <c r="FT165" s="27" t="n"/>
      <c r="FU165" s="27" t="n"/>
      <c r="FV165" s="27" t="n"/>
      <c r="FW165" s="27" t="n"/>
      <c r="FX165" s="27" t="n"/>
      <c r="FY165" s="27" t="n"/>
      <c r="FZ165" s="27" t="n"/>
      <c r="GA165" s="27" t="n"/>
      <c r="GB165" s="27" t="n"/>
      <c r="GC165" s="27" t="n"/>
      <c r="GD165" s="27" t="n"/>
      <c r="GE165" s="27" t="n"/>
      <c r="GF165" s="27" t="n"/>
      <c r="GG165" s="27" t="n"/>
      <c r="GH165" s="27" t="n"/>
      <c r="GI165" s="27" t="n"/>
      <c r="GJ165" s="27" t="n"/>
      <c r="GK165" s="27" t="n"/>
      <c r="GL165" s="27" t="n"/>
      <c r="GM165" s="27" t="n"/>
      <c r="GN165" s="27" t="n"/>
      <c r="GO165" s="27" t="n"/>
      <c r="GP165" s="27" t="n"/>
      <c r="GQ165" s="27" t="n"/>
      <c r="GR165" s="27" t="n"/>
      <c r="GS165" s="27" t="n"/>
      <c r="GT165" s="27" t="n"/>
      <c r="GU165" s="27" t="n"/>
      <c r="GV165" s="27" t="n"/>
      <c r="GW165" s="27" t="n"/>
      <c r="GX165" s="27" t="n"/>
      <c r="GY165" s="27" t="n"/>
      <c r="GZ165" s="27" t="n"/>
      <c r="HA165" s="27" t="n"/>
      <c r="HB165" s="27" t="n"/>
      <c r="HC165" s="27" t="n"/>
      <c r="HD165" s="27" t="n"/>
      <c r="HE165" s="27" t="n"/>
      <c r="HF165" s="27" t="n"/>
      <c r="HG165" s="27" t="n"/>
      <c r="HH165" s="27" t="n"/>
      <c r="HI165" s="27" t="n"/>
      <c r="HJ165" s="27" t="n"/>
      <c r="HK165" s="27" t="n"/>
      <c r="HL165" s="27" t="n"/>
      <c r="HM165" s="27" t="n"/>
      <c r="HN165" s="27" t="n"/>
      <c r="HO165" s="27" t="n"/>
      <c r="HP165" s="27" t="n"/>
      <c r="HQ165" s="27" t="n"/>
      <c r="HR165" s="27" t="n"/>
      <c r="HS165" s="27" t="n"/>
      <c r="HT165" s="27" t="n"/>
      <c r="HU165" s="27" t="n"/>
      <c r="HV165" s="27" t="n"/>
      <c r="HW165" s="27" t="n"/>
      <c r="HX165" s="27" t="n"/>
      <c r="HY165" s="27" t="n"/>
      <c r="HZ165" s="27" t="n"/>
      <c r="IA165" s="27" t="n"/>
      <c r="IB165" s="27" t="n"/>
      <c r="IC165" s="27" t="n"/>
      <c r="ID165" s="27" t="n"/>
      <c r="IE165" s="27" t="n"/>
      <c r="IF165" s="27" t="n"/>
      <c r="IG165" s="27" t="n"/>
      <c r="IH165" s="27" t="n"/>
      <c r="II165" s="27" t="n"/>
      <c r="IJ165" s="27" t="n"/>
      <c r="IK165" s="27" t="n"/>
      <c r="IL165" s="27" t="n"/>
      <c r="IM165" s="27" t="n"/>
      <c r="IN165" s="27" t="n"/>
      <c r="IO165" s="27" t="n"/>
      <c r="IP165" s="27" t="n"/>
      <c r="IQ165" s="27" t="n"/>
      <c r="IR165" s="27" t="n"/>
      <c r="IS165" s="27" t="n"/>
      <c r="IT165" s="27" t="n"/>
      <c r="IU165" s="27" t="n"/>
      <c r="IV165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 transitionEvaluation="1" transitionEntry="1">
    <outlinePr summaryBelow="1" summaryRight="1"/>
    <pageSetUpPr/>
  </sheetPr>
  <dimension ref="A1:F52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5"/>
  </cols>
  <sheetData>
    <row r="1" ht="23" customHeight="1" s="195">
      <c r="A1" s="14" t="inlineStr">
        <is>
          <t>TAKE OFF PAGE #4</t>
        </is>
      </c>
      <c r="B1" s="15" t="n"/>
      <c r="C1" s="16" t="n"/>
      <c r="D1" s="17" t="n"/>
      <c r="E1" s="16" t="n"/>
      <c r="F1" s="16" t="n"/>
    </row>
    <row r="2" ht="23" customHeight="1" s="195">
      <c r="A2" s="20" t="inlineStr">
        <is>
          <t>JOB:</t>
        </is>
      </c>
      <c r="B2" s="17">
        <f>#REF!</f>
        <v/>
      </c>
      <c r="C2" s="0" t="n"/>
      <c r="D2" s="17" t="n"/>
      <c r="E2" s="0" t="n"/>
      <c r="F2" s="16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e">
        <v>#REF!</v>
      </c>
      <c r="F3" s="16" t="n"/>
    </row>
    <row r="4" ht="13" customHeight="1" s="195">
      <c r="A4" s="27" t="n"/>
      <c r="B4" s="27" t="n"/>
      <c r="C4" s="28" t="n"/>
      <c r="D4" s="28" t="n"/>
      <c r="E4" s="27" t="n"/>
      <c r="F4" s="27" t="n"/>
    </row>
    <row r="5" ht="13" customHeight="1" s="195">
      <c r="A5" s="27" t="n"/>
      <c r="B5" s="30" t="n"/>
      <c r="C5" s="27" t="n"/>
      <c r="D5" s="28" t="n"/>
      <c r="E5" s="27" t="n"/>
      <c r="F5" s="27" t="n"/>
    </row>
    <row r="6" ht="24" customHeight="1" s="195" thickBot="1">
      <c r="A6" s="16" t="inlineStr">
        <is>
          <t>TOPPING SLAB</t>
        </is>
      </c>
      <c r="B6" s="20" t="n"/>
      <c r="C6" s="16" t="n"/>
      <c r="D6" s="17" t="n"/>
      <c r="E6" s="16" t="n"/>
      <c r="F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</row>
    <row r="46" ht="20" customHeight="1" s="195" thickBot="1" thickTop="1">
      <c r="A46" s="65" t="inlineStr">
        <is>
          <t>TOPPING SLAB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</row>
    <row r="48" ht="20" customHeight="1" s="195" thickBot="1" thickTop="1">
      <c r="A48" s="65" t="inlineStr">
        <is>
          <t>NET 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</row>
    <row r="51" ht="14" customHeight="1" s="195" thickTop="1">
      <c r="A51" s="27" t="n"/>
      <c r="B51" s="27" t="n"/>
      <c r="C51" s="27" t="n"/>
      <c r="D51" s="27" t="n"/>
      <c r="E51" s="27" t="n"/>
      <c r="F51" s="27" t="n"/>
    </row>
    <row r="52" ht="13" customHeight="1" s="195">
      <c r="A52" s="27" t="n"/>
      <c r="B52" s="27" t="n"/>
      <c r="C52" s="27" t="n"/>
      <c r="D52" s="27" t="n"/>
      <c r="E52" s="27" t="n"/>
      <c r="F52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Merisko Family</dc:creator>
  <dcterms:created xsi:type="dcterms:W3CDTF">1998-12-21T21:57:17Z</dcterms:created>
  <dcterms:modified xsi:type="dcterms:W3CDTF">2025-12-17T21:18:24Z</dcterms:modified>
  <cp:lastModifiedBy>Ryan Caton</cp:lastModifiedBy>
  <cp:lastPrinted>2013-02-13T15:57:49Z</cp:lastPrinted>
</cp:coreProperties>
</file>