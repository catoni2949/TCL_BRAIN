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name="ESTIMATE (INPUT)" sheetId="1" state="visible" r:id="rId1"/>
    <sheet name="ESTIMATE (output)" sheetId="2" state="visible" r:id="rId2"/>
    <sheet name="FOOTINGS" sheetId="3" state="hidden" r:id="rId3"/>
    <sheet name="SOG" sheetId="4" state="hidden" r:id="rId4"/>
    <sheet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1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  <numFmt numFmtId="174" formatCode="yyyy-mm-dd h:mm:ss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6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00FFF2CC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10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4" fontId="16" fillId="4" borderId="52" applyAlignment="1" applyProtection="1" pivotButton="0" quotePrefix="0" xfId="0">
      <alignment horizontal="center" vertical="center"/>
      <protection locked="0" hidden="0"/>
    </xf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3" fontId="2" fillId="5" borderId="0" applyAlignment="1" applyProtection="1" pivotButton="0" quotePrefix="0" xfId="0">
      <alignment vertical="center"/>
      <protection locked="0" hidden="0"/>
    </xf>
    <xf numFmtId="2" fontId="2" fillId="5" borderId="0" applyAlignment="1" applyProtection="1" pivotButton="0" quotePrefix="0" xfId="0">
      <alignment vertical="center"/>
      <protection locked="0" hidden="0"/>
    </xf>
    <xf numFmtId="173" fontId="6" fillId="5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AC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200" t="n">
        <v>46008.34741371687</v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inlineStr">
        <is>
          <t>Lachini Room – Tasting Vineyard</t>
        </is>
      </c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1" t="n">
        <v>12500</v>
      </c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inlineStr">
        <is>
          <t>123 Winery Rd</t>
        </is>
      </c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inlineStr">
        <is>
          <t>Napa, CA 94558</t>
        </is>
      </c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2">
        <f>IFERROR(SUM($T:$T)/H4,0)</f>
        <v/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3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4" t="n"/>
      <c r="H13" s="204" t="n"/>
      <c r="I13" s="204" t="n"/>
      <c r="J13" s="204" t="n"/>
      <c r="K13" s="204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4" t="n"/>
      <c r="H14" s="204" t="n"/>
      <c r="I14" s="204" t="n"/>
      <c r="J14" s="204" t="n"/>
      <c r="K14" s="204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4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4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4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4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4" t="n">
        <v>0</v>
      </c>
      <c r="H20" s="204" t="n"/>
      <c r="I20" s="204" t="n"/>
      <c r="J20" s="204" t="n"/>
      <c r="K20" s="204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4" t="n">
        <v>0</v>
      </c>
      <c r="H21" s="204" t="n"/>
      <c r="I21" s="204" t="n"/>
      <c r="J21" s="204" t="n"/>
      <c r="K21" s="204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4" t="n">
        <v>0</v>
      </c>
      <c r="H22" s="204" t="n"/>
      <c r="I22" s="204" t="n"/>
      <c r="J22" s="204" t="n"/>
      <c r="K22" s="204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4" t="n">
        <v>0</v>
      </c>
      <c r="H23" s="204" t="n"/>
      <c r="I23" s="204" t="n"/>
      <c r="J23" s="204" t="n"/>
      <c r="K23" s="204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4" t="n">
        <v>0</v>
      </c>
      <c r="H24" s="204" t="n"/>
      <c r="I24" s="204" t="n"/>
      <c r="J24" s="204" t="n"/>
      <c r="K24" s="204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2" t="n">
        <v>0</v>
      </c>
      <c r="V26" s="202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4" t="n"/>
      <c r="H29" s="205" t="n"/>
      <c r="I29" s="204" t="n"/>
      <c r="J29" s="204" t="n"/>
      <c r="K29" s="204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4" t="n"/>
      <c r="H31" s="204" t="n"/>
      <c r="I31" s="204" t="n"/>
      <c r="J31" s="204" t="n"/>
      <c r="K31" s="204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4" t="n"/>
      <c r="H32" s="204" t="n"/>
      <c r="I32" s="204" t="n"/>
      <c r="J32" s="204" t="n"/>
      <c r="K32" s="204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4" t="n"/>
      <c r="H33" s="204" t="n"/>
      <c r="I33" s="204" t="n"/>
      <c r="J33" s="204" t="n"/>
      <c r="K33" s="204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2" t="n">
        <v>0</v>
      </c>
      <c r="V40" s="202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4" t="n"/>
      <c r="H42" s="204" t="n"/>
      <c r="I42" s="204" t="n"/>
      <c r="J42" s="204" t="n"/>
      <c r="K42" s="204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4" t="n"/>
      <c r="H43" s="204" t="n"/>
      <c r="I43" s="204" t="n"/>
      <c r="J43" s="204" t="n"/>
      <c r="K43" s="204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4" t="n"/>
      <c r="H44" s="204" t="n"/>
      <c r="I44" s="204" t="n"/>
      <c r="J44" s="204" t="n"/>
      <c r="K44" s="204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4" t="n"/>
      <c r="H45" s="204" t="n"/>
      <c r="I45" s="204" t="n"/>
      <c r="J45" s="204" t="n"/>
      <c r="K45" s="204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4" t="n"/>
      <c r="H46" s="204" t="n"/>
      <c r="I46" s="204" t="n"/>
      <c r="J46" s="204" t="n"/>
      <c r="K46" s="204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4" t="n"/>
      <c r="H47" s="204" t="n"/>
      <c r="I47" s="204" t="n"/>
      <c r="J47" s="204" t="n"/>
      <c r="K47" s="204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2" t="n">
        <v>0</v>
      </c>
      <c r="V54" s="202" t="n">
        <v>3675</v>
      </c>
    </row>
    <row r="55" ht="10" customHeight="1" s="195">
      <c r="A55" s="109" t="inlineStr">
        <is>
          <t> </t>
        </is>
      </c>
      <c r="B55" s="1" t="inlineStr">
        <is>
          <t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4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2" t="n">
        <v>0</v>
      </c>
      <c r="V66" s="202" t="n">
        <v>0</v>
      </c>
    </row>
    <row r="67" ht="10" customHeight="1" s="195">
      <c r="A67" s="109" t="inlineStr">
        <is>
          <t> </t>
        </is>
      </c>
      <c r="B67" s="1" t="inlineStr">
        <is>
          <t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2" t="n">
        <v>0</v>
      </c>
      <c r="V79" s="202" t="n">
        <v>0</v>
      </c>
    </row>
    <row r="80" ht="10" customHeight="1" s="195">
      <c r="A80" s="109" t="inlineStr">
        <is>
          <t> </t>
        </is>
      </c>
      <c r="B80" s="1" t="inlineStr">
        <is>
          <t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2" t="n">
        <v>0</v>
      </c>
      <c r="V89" s="202" t="n">
        <v>0</v>
      </c>
    </row>
    <row r="90" ht="10" customHeight="1" s="195">
      <c r="A90" s="109" t="inlineStr">
        <is>
          <t> </t>
        </is>
      </c>
      <c r="B90" s="1" t="inlineStr">
        <is>
          <t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4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4" t="n"/>
      <c r="H95" s="204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4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2" t="n">
        <v>0</v>
      </c>
      <c r="V101" s="202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2" t="n">
        <v>0</v>
      </c>
      <c r="V113" s="202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4" t="n"/>
      <c r="H115" s="204" t="n"/>
      <c r="I115" s="204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2" t="n">
        <v>0</v>
      </c>
      <c r="V129" s="202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6" t="n">
        <v>0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2" t="n">
        <v>0</v>
      </c>
      <c r="V140" s="202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2" t="n">
        <v>0</v>
      </c>
      <c r="V149" s="202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2" t="n">
        <v>0</v>
      </c>
      <c r="V158" s="202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2" t="n">
        <v>0</v>
      </c>
      <c r="V167" s="202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2" t="n">
        <v>0</v>
      </c>
      <c r="V176" s="202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2" t="n">
        <v>0</v>
      </c>
      <c r="V184" s="202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207" t="n">
        <v>0</v>
      </c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4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2" t="n">
        <v>0</v>
      </c>
      <c r="V192" s="202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6" t="n">
        <v>150000</v>
      </c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2" t="n">
        <v>0</v>
      </c>
      <c r="V200" s="202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6" t="n">
        <v>99782</v>
      </c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2" t="n">
        <v>0</v>
      </c>
      <c r="V208" s="202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8" t="n">
        <v>105097</v>
      </c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2" t="n">
        <v>0</v>
      </c>
      <c r="V216" s="202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4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4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2" t="n">
        <v>0</v>
      </c>
      <c r="V224" s="202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2" t="n">
        <v>1</v>
      </c>
      <c r="V226" s="202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2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2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2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2" t="n">
        <v>1</v>
      </c>
      <c r="V232" s="202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9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Merisko Family</dc:creator>
  <dcterms:created xsi:type="dcterms:W3CDTF">1998-12-21T21:57:17Z</dcterms:created>
  <dcterms:modified xsi:type="dcterms:W3CDTF">2025-12-17T16:20:16Z</dcterms:modified>
  <cp:lastModifiedBy>Ryan Caton</cp:lastModifiedBy>
  <cp:lastPrinted>2013-02-13T15:57:49Z</cp:lastPrinted>
</cp:coreProperties>
</file>